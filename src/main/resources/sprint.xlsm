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3.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45" yWindow="90" windowWidth="15315" windowHeight="7935"/>
  </bookViews>
  <sheets>
    <sheet name="スケジュール" sheetId="1" r:id="rId1"/>
    <sheet name="担当者一覧" sheetId="2" r:id="rId2"/>
    <sheet name="標準工程" sheetId="3" r:id="rId3"/>
    <sheet name="設定" sheetId="4" r:id="rId4"/>
    <sheet name="進捗率" sheetId="5" r:id="rId5"/>
  </sheets>
  <externalReferences>
    <externalReference r:id="rId6"/>
  </externalReferences>
  <definedNames>
    <definedName name="_xlnm._FilterDatabase" localSheetId="0" hidden="1">スケジュール!$T$4:$U$197</definedName>
    <definedName name="_xlnm._FilterDatabase" localSheetId="2" hidden="1">標準工程!$Q$4:$Q$45</definedName>
    <definedName name="_QR3">[1]工数概算（未提出）!#REF!</definedName>
    <definedName name="aa" hidden="1">{#N/A,#N/A,FALSE,"１）背景";#N/A,#N/A,FALSE,"２）前提事項";#N/A,#N/A,FALSE,"３）優先順位";#N/A,#N/A,FALSE,"４）改善サマリー";#N/A,#N/A,FALSE,"５）懸念-1";#N/A,#N/A,FALSE,"５）懸念-2";#N/A,#N/A,FALSE,"５）懸念-3";#N/A,#N/A,FALSE,"５）懸念-4";#N/A,#N/A,FALSE,"６）組織図";#N/A,#N/A,FALSE,"６）スケジュール"}</definedName>
    <definedName name="aaa" hidden="1">{"'ｵﾌﾞｼﾞｪｸﾄ構成ﾌｧｸﾀｰ'!$A$1:$I$27"}</definedName>
    <definedName name="b" hidden="1">{#N/A,#N/A,FALSE,"１）背景";#N/A,#N/A,FALSE,"２）前提事項";#N/A,#N/A,FALSE,"３）優先順位";#N/A,#N/A,FALSE,"４）改善サマリー";#N/A,#N/A,FALSE,"５）懸念-1";#N/A,#N/A,FALSE,"５）懸念-2";#N/A,#N/A,FALSE,"５）懸念-3";#N/A,#N/A,FALSE,"５）懸念-4";#N/A,#N/A,FALSE,"６）組織図";#N/A,#N/A,FALSE,"６）スケジュール"}</definedName>
    <definedName name="ca" hidden="1">{#N/A,#N/A,FALSE,"１）背景";#N/A,#N/A,FALSE,"２）前提事項";#N/A,#N/A,FALSE,"３）優先順位";#N/A,#N/A,FALSE,"４）改善サマリー";#N/A,#N/A,FALSE,"５）懸念-1";#N/A,#N/A,FALSE,"５）懸念-2";#N/A,#N/A,FALSE,"５）懸念-3";#N/A,#N/A,FALSE,"５）懸念-4";#N/A,#N/A,FALSE,"６）組織図";#N/A,#N/A,FALSE,"６）スケジュール"}</definedName>
    <definedName name="DEFC">設定!$A$1</definedName>
    <definedName name="DEFC_BtnDsp_EXT">設定!$I$15</definedName>
    <definedName name="DEFC_BtnDsp_Menu">設定!$I$12</definedName>
    <definedName name="DEFC_BtnDsp_Task">設定!$I$13</definedName>
    <definedName name="DEFC_BtnDsp_TODO">設定!$I$14</definedName>
    <definedName name="DEFC_Cal_DspEndTime">設定!$X$37</definedName>
    <definedName name="DEFC_Cal_DspStaTime">設定!$X$36</definedName>
    <definedName name="DEFC_Cal_EndTime">設定!$X$35</definedName>
    <definedName name="DEFC_Cal_OffTime1">設定!$X$38</definedName>
    <definedName name="DEFC_Cal_OffTime2">設定!$X$39</definedName>
    <definedName name="DEFC_Cal_OffTime3">設定!$X$40</definedName>
    <definedName name="DEFC_Cal_StaTime">設定!$X$34</definedName>
    <definedName name="DEFC_Calender_Fry">設定!$I$34</definedName>
    <definedName name="DEFC_Calender_Hol">設定!$I$36</definedName>
    <definedName name="DEFC_Calender_Mon">設定!$I$30</definedName>
    <definedName name="DEFC_Calender_Off">設定!$M$5</definedName>
    <definedName name="DEFC_Calender_Off2">設定!$M$28</definedName>
    <definedName name="DEFC_Calender_OffE">設定!$M$23</definedName>
    <definedName name="DEFC_Calender_OffE2">設定!$M$45</definedName>
    <definedName name="DEFC_Calender_On">設定!$O$5</definedName>
    <definedName name="DEFC_Calender_On2">設定!$O$28</definedName>
    <definedName name="DEFC_Calender_OnE">設定!$O$23</definedName>
    <definedName name="DEFC_Calender_OnE2">設定!$O$45</definedName>
    <definedName name="DEFC_Calender_Sat">設定!$I$35</definedName>
    <definedName name="DEFC_Calender_Sun">設定!$I$29</definedName>
    <definedName name="DEFC_Calender_Thu">設定!$I$33</definedName>
    <definedName name="DEFC_Calender_Tue">設定!$I$31</definedName>
    <definedName name="DEFC_Calender_Wed">設定!$I$32</definedName>
    <definedName name="DEFC_CellForm_EXT10">設定!$I$19</definedName>
    <definedName name="DEFC_CellForm_EXT11">設定!$I$20</definedName>
    <definedName name="DEFC_CellForm_EXT12">設定!$I$21</definedName>
    <definedName name="DEFC_CellForm_EXT20">設定!$I$23</definedName>
    <definedName name="DEFC_CellForm_EXT21">設定!$I$24</definedName>
    <definedName name="DEFC_CellForm_EXT22">設定!$I$25</definedName>
    <definedName name="DEFC_CForm_BackPict">設定!$Z$31</definedName>
    <definedName name="DEFC_CForm_Comment">設定!$T$16</definedName>
    <definedName name="DEFC_CForm_Conect">設定!$T$13</definedName>
    <definedName name="DEFC_CForm_D_Day">設定!$X$17</definedName>
    <definedName name="DEFC_CForm_D_Frame">設定!$X$22</definedName>
    <definedName name="DEFC_CForm_D_WHol2">設定!$X$21</definedName>
    <definedName name="DEFC_CForm_D_Width">設定!$X$23</definedName>
    <definedName name="DEFC_CForm_D_WSat">設定!$X$20</definedName>
    <definedName name="DEFC_CForm_D_WSun">設定!$X$18</definedName>
    <definedName name="DEFC_CForm_D_WWork">設定!$X$19</definedName>
    <definedName name="DEFC_CForm_Defalt">設定!$T$6</definedName>
    <definedName name="DEFC_CForm_DiffDay">設定!$T$21</definedName>
    <definedName name="DEFC_CForm_DiffTime">設定!$T$26</definedName>
    <definedName name="DEFC_CForm_H_Day">設定!$X$26</definedName>
    <definedName name="DEFC_CForm_H_Frame">設定!$X$29</definedName>
    <definedName name="DEFC_CForm_H_Sun">設定!$X$27</definedName>
    <definedName name="DEFC_CForm_H_Width">設定!$X$30</definedName>
    <definedName name="DEFC_CForm_H_Work">設定!$X$28</definedName>
    <definedName name="DEFC_CForm_Item_No">設定!$T$10</definedName>
    <definedName name="DEFC_CForm_ItemName">設定!$T$11</definedName>
    <definedName name="DEFC_CForm_JituDay">設定!$T$22</definedName>
    <definedName name="DEFC_CForm_JituTime">設定!$T$27</definedName>
    <definedName name="DEFC_CForm_Kousuu">設定!$T$12</definedName>
    <definedName name="DEFC_CForm_LastTForm">設定!$Z$36</definedName>
    <definedName name="DEFC_CForm_LastTPos">設定!$AA$35</definedName>
    <definedName name="DEFC_CForm_Line">設定!$Z$38</definedName>
    <definedName name="DEFC_CForm_M_Frame">設定!$X$7</definedName>
    <definedName name="DEFC_CForm_M_Month">設定!$X$6</definedName>
    <definedName name="DEFC_CForm_M_Width">設定!$X$8</definedName>
    <definedName name="DEFC_CForm_M_Year">設定!$X$5</definedName>
    <definedName name="DEFC_CForm_Member">設定!$T$14</definedName>
    <definedName name="DEFC_CForm_Ningetu">設定!$T$15</definedName>
    <definedName name="DEFC_CForm_OkureDay">設定!$T$23</definedName>
    <definedName name="DEFC_CForm_OkureTim">設定!$T$28</definedName>
    <definedName name="DEFC_CForm_ProgDay">設定!$T$24</definedName>
    <definedName name="DEFC_CForm_ProgTime">設定!$T$29</definedName>
    <definedName name="DEFC_CForm_SecItem">設定!$T$9</definedName>
    <definedName name="DEFC_CForm_Title">設定!$T$7</definedName>
    <definedName name="DEFC_CForm_TopItem">設定!$T$8</definedName>
    <definedName name="DEFC_CForm_W_Day">設定!$X$12</definedName>
    <definedName name="DEFC_CForm_W_Frame">設定!$X$13</definedName>
    <definedName name="DEFC_CForm_W_Month">設定!$X$11</definedName>
    <definedName name="DEFC_CForm_W_Width">設定!$X$14</definedName>
    <definedName name="DEFC_CForm_Width">設定!$T$30</definedName>
    <definedName name="DEFC_CForm_YoteDay">設定!$T$20</definedName>
    <definedName name="DEFC_CForm_YoteTime">設定!$T$25</definedName>
    <definedName name="DEFC_Chart_FrameFix">設定!$I$8</definedName>
    <definedName name="DEFC_Chart_JituPos">設定!$I$7</definedName>
    <definedName name="DEFC_Chart_LineWidth">設定!$I$6</definedName>
    <definedName name="DEFC_Chart_MilestoneDate1">設定!$C$46</definedName>
    <definedName name="DEFC_Chart_NowDate">設定!$C$25</definedName>
    <definedName name="DEFC_Chart_Span">設定!$C$19</definedName>
    <definedName name="DEFC_Chart_StartDay">設定!$C$16</definedName>
    <definedName name="DEFC_Chart_Term">設定!$C$22</definedName>
    <definedName name="DEFC_ChartKind_Gp">設定!$Z$4</definedName>
    <definedName name="DEFC_ChartKind_Plan">設定!$AA$27</definedName>
    <definedName name="DEFC_ChartKind_Proc">設定!$AA$25</definedName>
    <definedName name="DEFC_ChartKind_ProcN">設定!$AA$26</definedName>
    <definedName name="DEFC_ChartKind_Stone">設定!$AA$28</definedName>
    <definedName name="DEFC_DebugLog">設定!$Z$7</definedName>
    <definedName name="DEFC_DspFlg_All">設定!$F$40</definedName>
    <definedName name="DEFC_DspFlg_Coment">設定!$F$19</definedName>
    <definedName name="DEFC_DspFlg_Conect">設定!$F$36</definedName>
    <definedName name="DEFC_DspFlg_Config">設定!$F$37</definedName>
    <definedName name="DEFC_DspFlg_ConLine">設定!$F$16</definedName>
    <definedName name="DEFC_DspFlg_DateDiff">設定!$F$28</definedName>
    <definedName name="DEFC_DspFlg_DiffJitu">設定!$F$31</definedName>
    <definedName name="DEFC_DspFlg_End__Day">設定!$F$29</definedName>
    <definedName name="DEFC_DspFlg_End_Jitu">設定!$F$32</definedName>
    <definedName name="DEFC_DspFlg_EndBox">設定!$F$15</definedName>
    <definedName name="DEFC_DspFlg_Group">設定!$F$11</definedName>
    <definedName name="DEFC_DspFlg_Inazuma">設定!$F$18</definedName>
    <definedName name="DEFC_DspFlg_Item_No">設定!$F$25</definedName>
    <definedName name="DEFC_DspFlg_ItemName">設定!$F$26</definedName>
    <definedName name="DEFC_DspFlg_Jitu">設定!$F$6</definedName>
    <definedName name="DEFC_DspFlg_Kous">設定!$F$8</definedName>
    <definedName name="DEFC_DspFlg_Kousuu">設定!$F$35</definedName>
    <definedName name="DEFC_DspFlg_Lang">設定!$AA$43</definedName>
    <definedName name="DEFC_DspFlg_Member">設定!$F$38</definedName>
    <definedName name="DEFC_DspFlg_Milestone1">設定!$I$45</definedName>
    <definedName name="DEFC_DspFlg_Ningetu">設定!$F$9</definedName>
    <definedName name="DEFC_DspFlg_NowLine">設定!$F$17</definedName>
    <definedName name="DEFC_DspFlg_OkureDay">設定!$F$33</definedName>
    <definedName name="DEFC_DspFlg_Prog">設定!$F$7</definedName>
    <definedName name="DEFC_DspFlg_Progress">設定!$F$34</definedName>
    <definedName name="DEFC_DspFlg_SecItem">設定!$F$24</definedName>
    <definedName name="DEFC_DspFlg_StartBox">設定!$F$14</definedName>
    <definedName name="DEFC_DspFlg_StartDay">設定!$F$27</definedName>
    <definedName name="DEFC_DspFlg_Stat">設定!$F$10</definedName>
    <definedName name="DEFC_DspFlg_Status">設定!$F$39</definedName>
    <definedName name="DEFC_DspFlg_StrtJitu">設定!$F$30</definedName>
    <definedName name="DEFC_DspFlg_Support">設定!$I$40</definedName>
    <definedName name="DEFC_DspFlg_TopItem">設定!$F$23</definedName>
    <definedName name="DEFC_DspGp_Cmd">設定!$C$5</definedName>
    <definedName name="DEFC_DspGp_Dsp">設定!$C$2</definedName>
    <definedName name="DEFC_DspGp_Form">設定!$S$2</definedName>
    <definedName name="DEFC_DspGp_Temp">設定!$AE$2</definedName>
    <definedName name="DEFC_DspGp_Work1">設定!$M$2</definedName>
    <definedName name="DEFC_DspGp_Work2">設定!$M$25</definedName>
    <definedName name="DEFC_DspLang">設定!$Z$44</definedName>
    <definedName name="DEFC_File_BaseForm">設定!$T$44</definedName>
    <definedName name="DEFC_File_MemForm">設定!$T$45</definedName>
    <definedName name="DEFC_Stat_Default">設定!$T$34</definedName>
    <definedName name="DEFC_Stat_End">設定!$T$37</definedName>
    <definedName name="DEFC_Stat_EndDelay">設定!$T$39</definedName>
    <definedName name="DEFC_Stat_Exec">設定!$T$35</definedName>
    <definedName name="DEFC_Stat_ExecRem">設定!$T$36</definedName>
    <definedName name="DEFC_Stat_ExecRemDay">設定!$U$36</definedName>
    <definedName name="DEFC_Stat_StartDelay">設定!$T$38</definedName>
    <definedName name="DEFC_Stat_YoteNeaDay">設定!$U$40</definedName>
    <definedName name="DEFC_Stat_YoteNear">設定!$T$40</definedName>
    <definedName name="DEFC_Tmp1_BackPict">設定!$AE$55</definedName>
    <definedName name="DEFC_Tmp1_CForm_D">設定!$AE$44</definedName>
    <definedName name="DEFC_Tmp1_CForm_Date">設定!$AE$17</definedName>
    <definedName name="DEFC_Tmp1_CForm_H">設定!$AE$50</definedName>
    <definedName name="DEFC_Tmp1_CForm_Item">設定!$AE$5</definedName>
    <definedName name="DEFC_Tmp1_CForm_M">設定!$AE$36</definedName>
    <definedName name="DEFC_Tmp1_CForm_W">設定!$AE$40</definedName>
    <definedName name="DEFC_Tmp1_Stat">設定!$AE$28</definedName>
    <definedName name="DEFC_Tmp2_BackPict">設定!$AG$55</definedName>
    <definedName name="DEFC_Tmp2_CForm_D">設定!$AG$44</definedName>
    <definedName name="DEFC_Tmp2_CForm_Date">設定!$AG$17</definedName>
    <definedName name="DEFC_Tmp2_CForm_H">設定!$AG$50</definedName>
    <definedName name="DEFC_Tmp2_CForm_Item">設定!$AG$5</definedName>
    <definedName name="DEFC_Tmp2_CForm_M">設定!$AG$36</definedName>
    <definedName name="DEFC_Tmp2_CForm_W">設定!$AG$40</definedName>
    <definedName name="DEFC_Tmp2_Stat">設定!$AG$28</definedName>
    <definedName name="DEFM">担当者一覧!$A$1</definedName>
    <definedName name="DEFM_DspGp_Title">担当者一覧!$B$2</definedName>
    <definedName name="DEFM_Member_Config">担当者一覧!$B$3</definedName>
    <definedName name="DEFM_Member_Enable">担当者一覧!$D$3</definedName>
    <definedName name="DEFM_Member_End">担当者一覧!$F$3</definedName>
    <definedName name="DEFM_Member_Member">担当者一覧!$C$3</definedName>
    <definedName name="DEFM_Member_OffGP">担当者一覧!$G$3</definedName>
    <definedName name="DEFM_Member_Sample">担当者一覧!$I$3</definedName>
    <definedName name="DEFM_Member_Start">担当者一覧!$E$3</definedName>
    <definedName name="DEFS">標準工程!$A$1</definedName>
    <definedName name="DEFS_DspGp_Title">標準工程!$B$2</definedName>
    <definedName name="DEFW">スケジュール!$A$1</definedName>
    <definedName name="DEFW_Chart_StartPos">スケジュール!$V$3</definedName>
    <definedName name="DEFW_DspGp_Title">スケジュール!$B$1</definedName>
    <definedName name="DEFW_Title_Conect">スケジュール!$R$4</definedName>
    <definedName name="DEFW_Title_Config">スケジュール!$S$4</definedName>
    <definedName name="DEFW_Title_DateDiff">スケジュール!$G$4</definedName>
    <definedName name="DEFW_Title_DiffJitu">スケジュール!$J$4</definedName>
    <definedName name="DEFW_Title_End__Day">スケジュール!$H$4</definedName>
    <definedName name="DEFW_Title_End_Jitu">スケジュール!$K$4</definedName>
    <definedName name="DEFW_Title_Item_No">スケジュール!$D$4</definedName>
    <definedName name="DEFW_Title_ItemName">スケジュール!$E$4</definedName>
    <definedName name="DEFW_Title_Kousuu">スケジュール!$N$4</definedName>
    <definedName name="DEFW_Title_Member">スケジュール!$T$4</definedName>
    <definedName name="DEFW_Title_OkureDay">スケジュール!$L$4</definedName>
    <definedName name="DEFW_Title_Progress">スケジュール!$M$4</definedName>
    <definedName name="DEFW_Title_SecItem">スケジュール!$C$4</definedName>
    <definedName name="DEFW_Title_StartDay">スケジュール!$F$4</definedName>
    <definedName name="DEFW_Title_Status">スケジュール!$U$4</definedName>
    <definedName name="DEFW_Title_StrtJitu">スケジュール!$I$4</definedName>
    <definedName name="DEFW_Title_TopItem">スケジュール!$B$4</definedName>
    <definedName name="HTM" hidden="1">{"'ｵﾌﾞｼﾞｪｸﾄ構成ﾌｧｸﾀｰ'!$A$1:$I$27"}</definedName>
    <definedName name="HTML_CodePage" hidden="1">932</definedName>
    <definedName name="HTML_Control" hidden="1">{"'ｵﾌﾞｼﾞｪｸﾄ構成ﾌｧｸﾀｰ'!$A$1:$I$27"}</definedName>
    <definedName name="HTML_Description" hidden="1">""</definedName>
    <definedName name="HTML_Email" hidden="1">""</definedName>
    <definedName name="HTML_Header" hidden="1">"ｵﾌﾞｼﾞｪｸﾄ構成ﾌｧｸﾀｰ"</definedName>
    <definedName name="HTML_LastUpdate" hidden="1">"98/10/01"</definedName>
    <definedName name="HTML_LineAfter" hidden="1">TRUE</definedName>
    <definedName name="HTML_LineBefore" hidden="1">TRUE</definedName>
    <definedName name="HTML_Name" hidden="1">"標準端末"</definedName>
    <definedName name="HTML_OBDlg2" hidden="1">TRUE</definedName>
    <definedName name="HTML_OBDlg4" hidden="1">TRUE</definedName>
    <definedName name="HTML_OS" hidden="1">0</definedName>
    <definedName name="HTML_PathFile" hidden="1">"C:\DATA\Saijo\MyHTML.htm"</definedName>
    <definedName name="HTML_Title" hidden="1">"ﾃﾞｰﾀobj"</definedName>
    <definedName name="M">#REF!</definedName>
    <definedName name="O_中分類別_選択部材当り使用回数_日">#REF!</definedName>
    <definedName name="wrn.すべて印刷." hidden="1">{#N/A,#N/A,FALSE,"１）背景";#N/A,#N/A,FALSE,"２）前提事項";#N/A,#N/A,FALSE,"３）優先順位";#N/A,#N/A,FALSE,"４）改善サマリー";#N/A,#N/A,FALSE,"５）懸念-1";#N/A,#N/A,FALSE,"５）懸念-2";#N/A,#N/A,FALSE,"５）懸念-3";#N/A,#N/A,FALSE,"５）懸念-4";#N/A,#N/A,FALSE,"６）組織図";#N/A,#N/A,FALSE,"６）スケジュール"}</definedName>
    <definedName name="wrn.印刷." hidden="1">{#N/A,#N/A,TRUE,"工程展開";#N/A,#N/A,TRUE,"INDEX・備考"}</definedName>
    <definedName name="合計">#REF!</definedName>
  </definedNames>
  <calcPr calcId="144525"/>
</workbook>
</file>

<file path=xl/calcChain.xml><?xml version="1.0" encoding="utf-8"?>
<calcChain xmlns="http://schemas.openxmlformats.org/spreadsheetml/2006/main">
  <c r="F44" i="1" l="1"/>
  <c r="F43" i="1"/>
  <c r="F42" i="1"/>
  <c r="F41" i="1"/>
  <c r="F40" i="1"/>
  <c r="F39" i="1"/>
  <c r="F38" i="1"/>
  <c r="F37" i="1"/>
  <c r="H162" i="1" l="1"/>
  <c r="F182" i="1" l="1"/>
  <c r="F186" i="1" s="1"/>
  <c r="F158" i="1" l="1"/>
  <c r="F157" i="1"/>
  <c r="P3" i="1" l="1"/>
  <c r="P7" i="1" l="1"/>
  <c r="P9" i="1"/>
  <c r="Q6" i="1"/>
  <c r="Q197" i="1"/>
  <c r="O197" i="1"/>
  <c r="Q190" i="1"/>
  <c r="O190" i="1"/>
  <c r="Q178" i="1"/>
  <c r="O178" i="1"/>
  <c r="Q177" i="1"/>
  <c r="O177" i="1"/>
  <c r="Q170" i="1"/>
  <c r="O170" i="1"/>
  <c r="Q162" i="1"/>
  <c r="O162" i="1"/>
  <c r="Q153" i="1"/>
  <c r="O153" i="1"/>
  <c r="Q152" i="1"/>
  <c r="O152" i="1"/>
  <c r="Q140" i="1"/>
  <c r="O140" i="1"/>
  <c r="Q139" i="1"/>
  <c r="O139" i="1"/>
  <c r="Q128" i="1"/>
  <c r="O128" i="1"/>
  <c r="Q127" i="1"/>
  <c r="O127" i="1"/>
  <c r="Q126" i="1"/>
  <c r="O126" i="1"/>
  <c r="Q125" i="1"/>
  <c r="O125" i="1"/>
  <c r="Q119" i="1"/>
  <c r="O119" i="1"/>
  <c r="Q118" i="1"/>
  <c r="O118" i="1"/>
  <c r="Q117" i="1"/>
  <c r="O117" i="1"/>
  <c r="Q116" i="1"/>
  <c r="O116" i="1"/>
  <c r="Q106" i="1"/>
  <c r="O106" i="1"/>
  <c r="Q105" i="1"/>
  <c r="O105" i="1"/>
  <c r="Q104" i="1"/>
  <c r="O104" i="1"/>
  <c r="Q103" i="1"/>
  <c r="O103" i="1"/>
  <c r="Q83" i="1"/>
  <c r="O83" i="1"/>
  <c r="Q82" i="1"/>
  <c r="O82" i="1"/>
  <c r="Q81" i="1"/>
  <c r="O81" i="1"/>
  <c r="Q80" i="1"/>
  <c r="O80" i="1"/>
  <c r="Q61" i="1"/>
  <c r="O61" i="1"/>
  <c r="Q60" i="1"/>
  <c r="O60" i="1"/>
  <c r="Q59" i="1"/>
  <c r="O59" i="1"/>
  <c r="Q58" i="1"/>
  <c r="O58" i="1"/>
  <c r="Q50" i="1"/>
  <c r="O50" i="1"/>
  <c r="Q49" i="1"/>
  <c r="O49" i="1"/>
  <c r="Q48" i="1"/>
  <c r="O48" i="1"/>
  <c r="Q47" i="1"/>
  <c r="O47" i="1"/>
  <c r="Q32" i="1"/>
  <c r="O32" i="1"/>
  <c r="O6" i="1"/>
  <c r="Q31" i="1"/>
  <c r="O31" i="1"/>
  <c r="Q10" i="1"/>
  <c r="O10" i="1"/>
  <c r="Q9" i="1"/>
  <c r="O9" i="1"/>
  <c r="Q8" i="1"/>
  <c r="O8" i="1"/>
  <c r="Q7" i="1"/>
  <c r="O7" i="1"/>
  <c r="N46" i="1" l="1"/>
  <c r="N45" i="1"/>
  <c r="N196" i="1"/>
  <c r="N195" i="1"/>
  <c r="N192" i="1"/>
  <c r="N191" i="1"/>
  <c r="N189" i="1"/>
  <c r="N188" i="1"/>
  <c r="N187" i="1"/>
  <c r="N180" i="1"/>
  <c r="N179" i="1"/>
  <c r="N176" i="1"/>
  <c r="N175" i="1"/>
  <c r="N172" i="1"/>
  <c r="N171" i="1"/>
  <c r="N169" i="1"/>
  <c r="N168" i="1"/>
  <c r="N167" i="1"/>
  <c r="N164" i="1"/>
  <c r="N163" i="1"/>
  <c r="N161" i="1"/>
  <c r="N160" i="1"/>
  <c r="N159" i="1"/>
  <c r="N155" i="1"/>
  <c r="N154" i="1"/>
  <c r="N151" i="1"/>
  <c r="N150" i="1"/>
  <c r="N142" i="1"/>
  <c r="N141" i="1"/>
  <c r="N138" i="1"/>
  <c r="N137" i="1"/>
  <c r="N130" i="1"/>
  <c r="N129" i="1"/>
  <c r="F125" i="1"/>
  <c r="P125" i="1" s="1"/>
  <c r="F126" i="1"/>
  <c r="P126" i="1" s="1"/>
  <c r="F115" i="1"/>
  <c r="N115" i="1"/>
  <c r="N114" i="1"/>
  <c r="N102" i="1"/>
  <c r="N101" i="1"/>
  <c r="N79" i="1"/>
  <c r="N78" i="1"/>
  <c r="N57" i="1"/>
  <c r="N56" i="1"/>
  <c r="N30" i="1"/>
  <c r="N29" i="1"/>
  <c r="N34" i="1"/>
  <c r="N33" i="1"/>
  <c r="F34" i="1"/>
  <c r="F46" i="1"/>
  <c r="F197" i="1"/>
  <c r="P197" i="1" s="1"/>
  <c r="D197" i="1"/>
  <c r="F196" i="1"/>
  <c r="D196" i="1"/>
  <c r="F195" i="1"/>
  <c r="D195" i="1"/>
  <c r="D192" i="1"/>
  <c r="F191" i="1"/>
  <c r="F192" i="1" s="1"/>
  <c r="D191" i="1"/>
  <c r="H190" i="1"/>
  <c r="E190" i="1"/>
  <c r="F189" i="1"/>
  <c r="D189" i="1"/>
  <c r="D188" i="1"/>
  <c r="F187" i="1"/>
  <c r="F188" i="1" s="1"/>
  <c r="D187" i="1"/>
  <c r="F180" i="1"/>
  <c r="F181" i="1" s="1"/>
  <c r="F183" i="1" s="1"/>
  <c r="F184" i="1" s="1"/>
  <c r="F185" i="1" s="1"/>
  <c r="D180" i="1"/>
  <c r="F179" i="1"/>
  <c r="D179" i="1"/>
  <c r="H178" i="1"/>
  <c r="E178" i="1"/>
  <c r="F177" i="1"/>
  <c r="P177" i="1" s="1"/>
  <c r="D177" i="1"/>
  <c r="F176" i="1"/>
  <c r="D176" i="1"/>
  <c r="F175" i="1"/>
  <c r="D175" i="1"/>
  <c r="D172" i="1"/>
  <c r="F171" i="1"/>
  <c r="F172" i="1" s="1"/>
  <c r="F173" i="1" s="1"/>
  <c r="F174" i="1" s="1"/>
  <c r="D171" i="1"/>
  <c r="H170" i="1"/>
  <c r="E170" i="1"/>
  <c r="D169" i="1"/>
  <c r="D168" i="1"/>
  <c r="D167" i="1"/>
  <c r="D164" i="1"/>
  <c r="F164" i="1"/>
  <c r="F165" i="1" s="1"/>
  <c r="F166" i="1" s="1"/>
  <c r="D163" i="1"/>
  <c r="E162" i="1"/>
  <c r="D161" i="1"/>
  <c r="F160" i="1"/>
  <c r="F161" i="1" s="1"/>
  <c r="D160" i="1"/>
  <c r="F159" i="1"/>
  <c r="D159" i="1"/>
  <c r="F155" i="1"/>
  <c r="D155" i="1"/>
  <c r="D154" i="1"/>
  <c r="H153" i="1"/>
  <c r="E153" i="1"/>
  <c r="F152" i="1"/>
  <c r="P152" i="1" s="1"/>
  <c r="D152" i="1"/>
  <c r="D151" i="1"/>
  <c r="F150" i="1"/>
  <c r="F151" i="1" s="1"/>
  <c r="D150" i="1"/>
  <c r="D142" i="1"/>
  <c r="F142" i="1"/>
  <c r="D141" i="1"/>
  <c r="H140" i="1"/>
  <c r="E140" i="1"/>
  <c r="P139" i="1"/>
  <c r="D139" i="1"/>
  <c r="D138" i="1"/>
  <c r="D137" i="1"/>
  <c r="D130" i="1"/>
  <c r="F130" i="1"/>
  <c r="D129" i="1"/>
  <c r="H128" i="1"/>
  <c r="E128" i="1"/>
  <c r="F127" i="1"/>
  <c r="P127" i="1" s="1"/>
  <c r="D127" i="1"/>
  <c r="D126" i="1"/>
  <c r="D125" i="1"/>
  <c r="D119" i="1"/>
  <c r="F118" i="1"/>
  <c r="F119" i="1" s="1"/>
  <c r="P119" i="1" s="1"/>
  <c r="D118" i="1"/>
  <c r="H117" i="1"/>
  <c r="E117" i="1"/>
  <c r="F116" i="1"/>
  <c r="D116" i="1"/>
  <c r="D115" i="1"/>
  <c r="F114" i="1"/>
  <c r="D114" i="1"/>
  <c r="F106" i="1"/>
  <c r="P106" i="1" s="1"/>
  <c r="D106" i="1"/>
  <c r="F105" i="1"/>
  <c r="P105" i="1" s="1"/>
  <c r="D105" i="1"/>
  <c r="H104" i="1"/>
  <c r="E104" i="1"/>
  <c r="F103" i="1"/>
  <c r="P103" i="1" s="1"/>
  <c r="D103" i="1"/>
  <c r="F102" i="1"/>
  <c r="D102" i="1"/>
  <c r="F101" i="1"/>
  <c r="D101" i="1"/>
  <c r="F83" i="1"/>
  <c r="P83" i="1" s="1"/>
  <c r="D83" i="1"/>
  <c r="F82" i="1"/>
  <c r="D82" i="1"/>
  <c r="H81" i="1"/>
  <c r="E81" i="1"/>
  <c r="F80" i="1"/>
  <c r="P80" i="1" s="1"/>
  <c r="D80" i="1"/>
  <c r="D79" i="1"/>
  <c r="F78" i="1"/>
  <c r="F79" i="1" s="1"/>
  <c r="D78" i="1"/>
  <c r="F61" i="1"/>
  <c r="P61" i="1" s="1"/>
  <c r="D61" i="1"/>
  <c r="F60" i="1"/>
  <c r="D60" i="1"/>
  <c r="H59" i="1"/>
  <c r="E59" i="1"/>
  <c r="P58" i="1"/>
  <c r="D58" i="1"/>
  <c r="D57" i="1"/>
  <c r="D56" i="1"/>
  <c r="F50" i="1"/>
  <c r="P50" i="1" s="1"/>
  <c r="D50" i="1"/>
  <c r="F49" i="1"/>
  <c r="P49" i="1" s="1"/>
  <c r="D49" i="1"/>
  <c r="H48" i="1"/>
  <c r="E48" i="1"/>
  <c r="F47" i="1"/>
  <c r="P47" i="1" s="1"/>
  <c r="D47" i="1"/>
  <c r="D46" i="1"/>
  <c r="F45" i="1"/>
  <c r="D45" i="1"/>
  <c r="D34" i="1"/>
  <c r="F33" i="1"/>
  <c r="D33" i="1"/>
  <c r="H32" i="1"/>
  <c r="E32" i="1"/>
  <c r="F31" i="1"/>
  <c r="D31" i="1"/>
  <c r="F30" i="1"/>
  <c r="D30" i="1"/>
  <c r="D29" i="1"/>
  <c r="F10" i="1"/>
  <c r="P10" i="1" s="1"/>
  <c r="D10" i="1"/>
  <c r="D9" i="1"/>
  <c r="H8" i="1"/>
  <c r="E8" i="1"/>
  <c r="C49" i="4"/>
  <c r="F194" i="1" l="1"/>
  <c r="F193" i="1"/>
  <c r="F36" i="1"/>
  <c r="F35" i="1"/>
  <c r="F140" i="1"/>
  <c r="P140" i="1" s="1"/>
  <c r="F162" i="1"/>
  <c r="P162" i="1" s="1"/>
  <c r="O29" i="1"/>
  <c r="Q29" i="1"/>
  <c r="P29" i="1"/>
  <c r="Q78" i="1"/>
  <c r="P78" i="1"/>
  <c r="O78" i="1"/>
  <c r="P114" i="1"/>
  <c r="Q114" i="1"/>
  <c r="O114" i="1"/>
  <c r="Q159" i="1"/>
  <c r="P159" i="1"/>
  <c r="O159" i="1"/>
  <c r="Q164" i="1"/>
  <c r="P164" i="1"/>
  <c r="O164" i="1"/>
  <c r="Q179" i="1"/>
  <c r="O179" i="1"/>
  <c r="P179" i="1"/>
  <c r="Q189" i="1"/>
  <c r="P189" i="1"/>
  <c r="O189" i="1"/>
  <c r="P46" i="1"/>
  <c r="Q46" i="1"/>
  <c r="O46" i="1"/>
  <c r="F8" i="1"/>
  <c r="P8" i="1" s="1"/>
  <c r="P31" i="1"/>
  <c r="F104" i="1"/>
  <c r="P104" i="1" s="1"/>
  <c r="P116" i="1"/>
  <c r="F128" i="1"/>
  <c r="P128" i="1" s="1"/>
  <c r="P34" i="1"/>
  <c r="Q34" i="1"/>
  <c r="O34" i="1"/>
  <c r="P57" i="1"/>
  <c r="Q57" i="1"/>
  <c r="O57" i="1"/>
  <c r="P102" i="1"/>
  <c r="Q102" i="1"/>
  <c r="O102" i="1"/>
  <c r="Q137" i="1"/>
  <c r="O137" i="1"/>
  <c r="P137" i="1"/>
  <c r="Q142" i="1"/>
  <c r="P142" i="1"/>
  <c r="O142" i="1"/>
  <c r="P155" i="1"/>
  <c r="Q155" i="1"/>
  <c r="O155" i="1"/>
  <c r="Q163" i="1"/>
  <c r="O163" i="1"/>
  <c r="P163" i="1"/>
  <c r="P169" i="1"/>
  <c r="Q169" i="1"/>
  <c r="O169" i="1"/>
  <c r="Q176" i="1"/>
  <c r="O176" i="1"/>
  <c r="P176" i="1"/>
  <c r="Q188" i="1"/>
  <c r="P188" i="1"/>
  <c r="O188" i="1"/>
  <c r="P195" i="1"/>
  <c r="Q195" i="1"/>
  <c r="O195" i="1"/>
  <c r="Q45" i="1"/>
  <c r="O45" i="1"/>
  <c r="P45" i="1"/>
  <c r="O30" i="1"/>
  <c r="P30" i="1"/>
  <c r="Q30" i="1"/>
  <c r="Q79" i="1"/>
  <c r="P79" i="1"/>
  <c r="O79" i="1"/>
  <c r="Q115" i="1"/>
  <c r="P115" i="1"/>
  <c r="O115" i="1"/>
  <c r="P129" i="1"/>
  <c r="Q129" i="1"/>
  <c r="O129" i="1"/>
  <c r="P138" i="1"/>
  <c r="Q138" i="1"/>
  <c r="O138" i="1"/>
  <c r="P151" i="1"/>
  <c r="Q151" i="1"/>
  <c r="O151" i="1"/>
  <c r="Q160" i="1"/>
  <c r="P160" i="1"/>
  <c r="O160" i="1"/>
  <c r="Q167" i="1"/>
  <c r="P167" i="1"/>
  <c r="O167" i="1"/>
  <c r="P172" i="1"/>
  <c r="Q172" i="1"/>
  <c r="O172" i="1"/>
  <c r="P180" i="1"/>
  <c r="Q180" i="1"/>
  <c r="O180" i="1"/>
  <c r="Q191" i="1"/>
  <c r="P191" i="1"/>
  <c r="O191" i="1"/>
  <c r="F153" i="1"/>
  <c r="P153" i="1" s="1"/>
  <c r="Q150" i="1"/>
  <c r="P150" i="1"/>
  <c r="O150" i="1"/>
  <c r="Q171" i="1"/>
  <c r="O171" i="1"/>
  <c r="P171" i="1"/>
  <c r="Q196" i="1"/>
  <c r="O196" i="1"/>
  <c r="P196" i="1"/>
  <c r="H6" i="1"/>
  <c r="F48" i="1"/>
  <c r="P48" i="1" s="1"/>
  <c r="F59" i="1"/>
  <c r="P59" i="1" s="1"/>
  <c r="P60" i="1"/>
  <c r="F81" i="1"/>
  <c r="P81" i="1" s="1"/>
  <c r="P82" i="1"/>
  <c r="F117" i="1"/>
  <c r="P117" i="1" s="1"/>
  <c r="P118" i="1"/>
  <c r="Q33" i="1"/>
  <c r="O33" i="1"/>
  <c r="P33" i="1"/>
  <c r="Q56" i="1"/>
  <c r="P56" i="1"/>
  <c r="O56" i="1"/>
  <c r="P101" i="1"/>
  <c r="Q101" i="1"/>
  <c r="O101" i="1"/>
  <c r="Q130" i="1"/>
  <c r="P130" i="1"/>
  <c r="O130" i="1"/>
  <c r="P141" i="1"/>
  <c r="Q141" i="1"/>
  <c r="O141" i="1"/>
  <c r="Q154" i="1"/>
  <c r="P154" i="1"/>
  <c r="O154" i="1"/>
  <c r="P161" i="1"/>
  <c r="Q161" i="1"/>
  <c r="O161" i="1"/>
  <c r="Q168" i="1"/>
  <c r="P168" i="1"/>
  <c r="O168" i="1"/>
  <c r="Q175" i="1"/>
  <c r="P175" i="1"/>
  <c r="O175" i="1"/>
  <c r="P187" i="1"/>
  <c r="Q187" i="1"/>
  <c r="O187" i="1"/>
  <c r="Q192" i="1"/>
  <c r="P192" i="1"/>
  <c r="O192" i="1"/>
  <c r="F178" i="1"/>
  <c r="P178" i="1" s="1"/>
  <c r="F170" i="1"/>
  <c r="F190" i="1" l="1"/>
  <c r="P190" i="1" s="1"/>
  <c r="F32" i="1"/>
  <c r="P32" i="1" s="1"/>
  <c r="Q2" i="1"/>
  <c r="P170" i="1"/>
  <c r="O2" i="1"/>
  <c r="F6" i="1" l="1"/>
  <c r="P6" i="1" s="1"/>
  <c r="P2" i="1" s="1"/>
</calcChain>
</file>

<file path=xl/comments1.xml><?xml version="1.0" encoding="utf-8"?>
<comments xmlns="http://schemas.openxmlformats.org/spreadsheetml/2006/main">
  <authors>
    <author>negishi.sho</author>
  </authors>
  <commentList>
    <comment ref="E11" authorId="0">
      <text>
        <r>
          <rPr>
            <sz val="9"/>
            <color indexed="81"/>
            <rFont val="Meiryo UI"/>
            <family val="3"/>
            <charset val="128"/>
          </rPr>
          <t xml:space="preserve">画面要件シート・
入出力定義書シート
</t>
        </r>
      </text>
    </comment>
    <comment ref="E12" authorId="0">
      <text>
        <r>
          <rPr>
            <sz val="9"/>
            <color indexed="81"/>
            <rFont val="Meiryo UI"/>
            <family val="3"/>
            <charset val="128"/>
          </rPr>
          <t xml:space="preserve">画面要件シート・
入出力定義書シート
</t>
        </r>
      </text>
    </comment>
    <comment ref="D13" authorId="0">
      <text>
        <r>
          <rPr>
            <sz val="9"/>
            <color indexed="81"/>
            <rFont val="ＭＳ Ｐゴシック"/>
            <family val="3"/>
            <charset val="128"/>
          </rPr>
          <t xml:space="preserve">入力チェックシート、
イベント処理概要シート、
イベント処理詳細シート
「テストデータ作成込」
</t>
        </r>
      </text>
    </comment>
    <comment ref="E35" authorId="0">
      <text>
        <r>
          <rPr>
            <sz val="9"/>
            <color indexed="81"/>
            <rFont val="Meiryo UI"/>
            <family val="3"/>
            <charset val="128"/>
          </rPr>
          <t xml:space="preserve">画面要件シート・
入出力定義書シート
</t>
        </r>
      </text>
    </comment>
    <comment ref="D36" authorId="0">
      <text>
        <r>
          <rPr>
            <sz val="9"/>
            <color indexed="81"/>
            <rFont val="ＭＳ Ｐゴシック"/>
            <family val="3"/>
            <charset val="128"/>
          </rPr>
          <t xml:space="preserve">入力チェックシート、
イベント処理概要シート、
イベント処理詳細シート
「テストデータ作成込」
</t>
        </r>
      </text>
    </comment>
    <comment ref="E51" authorId="0">
      <text>
        <r>
          <rPr>
            <sz val="9"/>
            <color indexed="81"/>
            <rFont val="Meiryo UI"/>
            <family val="3"/>
            <charset val="128"/>
          </rPr>
          <t xml:space="preserve">画面要件シート・
入出力定義書シート
</t>
        </r>
      </text>
    </comment>
    <comment ref="E52" authorId="0">
      <text>
        <r>
          <rPr>
            <sz val="9"/>
            <color indexed="81"/>
            <rFont val="Meiryo UI"/>
            <family val="3"/>
            <charset val="128"/>
          </rPr>
          <t xml:space="preserve">画面要件シート・
入出力定義書シート
</t>
        </r>
      </text>
    </comment>
    <comment ref="D53" authorId="0">
      <text>
        <r>
          <rPr>
            <sz val="9"/>
            <color indexed="81"/>
            <rFont val="ＭＳ Ｐゴシック"/>
            <family val="3"/>
            <charset val="128"/>
          </rPr>
          <t xml:space="preserve">入力チェックシート、
イベント処理概要シート、
イベント処理詳細シート
「テストデータ作成込」
</t>
        </r>
      </text>
    </comment>
    <comment ref="E62" authorId="0">
      <text>
        <r>
          <rPr>
            <sz val="9"/>
            <color indexed="81"/>
            <rFont val="Meiryo UI"/>
            <family val="3"/>
            <charset val="128"/>
          </rPr>
          <t xml:space="preserve">画面要件シート・
入出力定義書シート
</t>
        </r>
      </text>
    </comment>
    <comment ref="E63" authorId="0">
      <text>
        <r>
          <rPr>
            <sz val="9"/>
            <color indexed="81"/>
            <rFont val="Meiryo UI"/>
            <family val="3"/>
            <charset val="128"/>
          </rPr>
          <t xml:space="preserve">画面要件シート・
入出力定義書シート
</t>
        </r>
      </text>
    </comment>
    <comment ref="D64" authorId="0">
      <text>
        <r>
          <rPr>
            <sz val="9"/>
            <color indexed="81"/>
            <rFont val="ＭＳ Ｐゴシック"/>
            <family val="3"/>
            <charset val="128"/>
          </rPr>
          <t xml:space="preserve">入力チェックシート、
イベント処理概要シート、
イベント処理詳細シート
「テストデータ作成込」
</t>
        </r>
      </text>
    </comment>
    <comment ref="E75" authorId="0">
      <text>
        <r>
          <rPr>
            <sz val="9"/>
            <color indexed="81"/>
            <rFont val="Meiryo UI"/>
            <family val="3"/>
            <charset val="128"/>
          </rPr>
          <t xml:space="preserve">画面要件シート・
入出力定義書シート
</t>
        </r>
      </text>
    </comment>
    <comment ref="D76" authorId="0">
      <text>
        <r>
          <rPr>
            <sz val="9"/>
            <color indexed="81"/>
            <rFont val="ＭＳ Ｐゴシック"/>
            <family val="3"/>
            <charset val="128"/>
          </rPr>
          <t xml:space="preserve">入力チェックシート、
イベント処理概要シート、
イベント処理詳細シート
「テストデータ作成込」
</t>
        </r>
      </text>
    </comment>
    <comment ref="E84" authorId="0">
      <text>
        <r>
          <rPr>
            <sz val="9"/>
            <color indexed="81"/>
            <rFont val="Meiryo UI"/>
            <family val="3"/>
            <charset val="128"/>
          </rPr>
          <t xml:space="preserve">画面要件シート・
入出力定義書シート
</t>
        </r>
      </text>
    </comment>
    <comment ref="E85" authorId="0">
      <text>
        <r>
          <rPr>
            <sz val="9"/>
            <color indexed="81"/>
            <rFont val="Meiryo UI"/>
            <family val="3"/>
            <charset val="128"/>
          </rPr>
          <t xml:space="preserve">画面要件シート・
入出力定義書シート
</t>
        </r>
      </text>
    </comment>
    <comment ref="D86" authorId="0">
      <text>
        <r>
          <rPr>
            <sz val="9"/>
            <color indexed="81"/>
            <rFont val="ＭＳ Ｐゴシック"/>
            <family val="3"/>
            <charset val="128"/>
          </rPr>
          <t xml:space="preserve">入力チェックシート、
イベント処理概要シート、
イベント処理詳細シート
「テストデータ作成込」
</t>
        </r>
      </text>
    </comment>
    <comment ref="E97" authorId="0">
      <text>
        <r>
          <rPr>
            <sz val="9"/>
            <color indexed="81"/>
            <rFont val="Meiryo UI"/>
            <family val="3"/>
            <charset val="128"/>
          </rPr>
          <t xml:space="preserve">画面要件シート・
入出力定義書シート
</t>
        </r>
      </text>
    </comment>
    <comment ref="D98" authorId="0">
      <text>
        <r>
          <rPr>
            <sz val="9"/>
            <color indexed="81"/>
            <rFont val="ＭＳ Ｐゴシック"/>
            <family val="3"/>
            <charset val="128"/>
          </rPr>
          <t xml:space="preserve">入力チェックシート、
イベント処理概要シート、
イベント処理詳細シート
「テストデータ作成込」
</t>
        </r>
      </text>
    </comment>
    <comment ref="E107" authorId="0">
      <text>
        <r>
          <rPr>
            <sz val="9"/>
            <color indexed="81"/>
            <rFont val="Meiryo UI"/>
            <family val="3"/>
            <charset val="128"/>
          </rPr>
          <t xml:space="preserve">画面要件シート・
入出力定義書シート
</t>
        </r>
      </text>
    </comment>
    <comment ref="E108" authorId="0">
      <text>
        <r>
          <rPr>
            <sz val="9"/>
            <color indexed="81"/>
            <rFont val="Meiryo UI"/>
            <family val="3"/>
            <charset val="128"/>
          </rPr>
          <t xml:space="preserve">画面要件シート・
入出力定義書シート
</t>
        </r>
      </text>
    </comment>
    <comment ref="D109" authorId="0">
      <text>
        <r>
          <rPr>
            <sz val="9"/>
            <color indexed="81"/>
            <rFont val="ＭＳ Ｐゴシック"/>
            <family val="3"/>
            <charset val="128"/>
          </rPr>
          <t xml:space="preserve">入力チェックシート、
イベント処理概要シート、
イベント処理詳細シート
「テストデータ作成込」
</t>
        </r>
      </text>
    </comment>
    <comment ref="E120" authorId="0">
      <text>
        <r>
          <rPr>
            <sz val="9"/>
            <color indexed="81"/>
            <rFont val="Meiryo UI"/>
            <family val="3"/>
            <charset val="128"/>
          </rPr>
          <t xml:space="preserve">画面要件シート・
入出力定義書シート
</t>
        </r>
      </text>
    </comment>
    <comment ref="E121" authorId="0">
      <text>
        <r>
          <rPr>
            <sz val="9"/>
            <color indexed="81"/>
            <rFont val="Meiryo UI"/>
            <family val="3"/>
            <charset val="128"/>
          </rPr>
          <t xml:space="preserve">画面要件シート・
入出力定義書シート
</t>
        </r>
      </text>
    </comment>
    <comment ref="D122" authorId="0">
      <text>
        <r>
          <rPr>
            <sz val="9"/>
            <color indexed="81"/>
            <rFont val="ＭＳ Ｐゴシック"/>
            <family val="3"/>
            <charset val="128"/>
          </rPr>
          <t xml:space="preserve">入力チェックシート、
イベント処理概要シート、
イベント処理詳細シート
「テストデータ作成込」
</t>
        </r>
      </text>
    </comment>
    <comment ref="E131" authorId="0">
      <text>
        <r>
          <rPr>
            <sz val="9"/>
            <color indexed="81"/>
            <rFont val="Meiryo UI"/>
            <family val="3"/>
            <charset val="128"/>
          </rPr>
          <t xml:space="preserve">画面要件シート・
入出力定義書シート
</t>
        </r>
      </text>
    </comment>
    <comment ref="E132" authorId="0">
      <text>
        <r>
          <rPr>
            <sz val="9"/>
            <color indexed="81"/>
            <rFont val="Meiryo UI"/>
            <family val="3"/>
            <charset val="128"/>
          </rPr>
          <t xml:space="preserve">画面要件シート・
入出力定義書シート
</t>
        </r>
      </text>
    </comment>
    <comment ref="D133" authorId="0">
      <text>
        <r>
          <rPr>
            <sz val="9"/>
            <color indexed="81"/>
            <rFont val="ＭＳ Ｐゴシック"/>
            <family val="3"/>
            <charset val="128"/>
          </rPr>
          <t xml:space="preserve">入力チェックシート、
イベント処理概要シート、
イベント処理詳細シート
「テストデータ作成込」
</t>
        </r>
      </text>
    </comment>
    <comment ref="E143" authorId="0">
      <text>
        <r>
          <rPr>
            <sz val="9"/>
            <color indexed="81"/>
            <rFont val="Meiryo UI"/>
            <family val="3"/>
            <charset val="128"/>
          </rPr>
          <t xml:space="preserve">画面要件シート・
入出力定義書シート
</t>
        </r>
      </text>
    </comment>
    <comment ref="E144" authorId="0">
      <text>
        <r>
          <rPr>
            <sz val="9"/>
            <color indexed="81"/>
            <rFont val="Meiryo UI"/>
            <family val="3"/>
            <charset val="128"/>
          </rPr>
          <t xml:space="preserve">画面要件シート・
入出力定義書シート
</t>
        </r>
      </text>
    </comment>
    <comment ref="D145" authorId="0">
      <text>
        <r>
          <rPr>
            <sz val="9"/>
            <color indexed="81"/>
            <rFont val="ＭＳ Ｐゴシック"/>
            <family val="3"/>
            <charset val="128"/>
          </rPr>
          <t xml:space="preserve">入力チェックシート、
イベント処理概要シート、
イベント処理詳細シート
「テストデータ作成込」
</t>
        </r>
      </text>
    </comment>
    <comment ref="E156" authorId="0">
      <text>
        <r>
          <rPr>
            <sz val="9"/>
            <color indexed="81"/>
            <rFont val="Meiryo UI"/>
            <family val="3"/>
            <charset val="128"/>
          </rPr>
          <t xml:space="preserve">画面要件シート・
入出力定義書シート
</t>
        </r>
      </text>
    </comment>
    <comment ref="D157" authorId="0">
      <text>
        <r>
          <rPr>
            <sz val="9"/>
            <color indexed="81"/>
            <rFont val="ＭＳ Ｐゴシック"/>
            <family val="3"/>
            <charset val="128"/>
          </rPr>
          <t xml:space="preserve">入力チェックシート、
イベント処理概要シート、
イベント処理詳細シート
「テストデータ作成込」
</t>
        </r>
      </text>
    </comment>
    <comment ref="E165" authorId="0">
      <text>
        <r>
          <rPr>
            <sz val="9"/>
            <color indexed="81"/>
            <rFont val="Meiryo UI"/>
            <family val="3"/>
            <charset val="128"/>
          </rPr>
          <t xml:space="preserve">画面要件シート・
入出力定義書シート
</t>
        </r>
      </text>
    </comment>
    <comment ref="D166" authorId="0">
      <text>
        <r>
          <rPr>
            <sz val="9"/>
            <color indexed="81"/>
            <rFont val="ＭＳ Ｐゴシック"/>
            <family val="3"/>
            <charset val="128"/>
          </rPr>
          <t xml:space="preserve">入力チェックシート、
イベント処理概要シート、
イベント処理詳細シート
「テストデータ作成込」
</t>
        </r>
      </text>
    </comment>
    <comment ref="E173" authorId="0">
      <text>
        <r>
          <rPr>
            <sz val="9"/>
            <color indexed="81"/>
            <rFont val="Meiryo UI"/>
            <family val="3"/>
            <charset val="128"/>
          </rPr>
          <t xml:space="preserve">画面要件シート・
入出力定義書シート
</t>
        </r>
      </text>
    </comment>
    <comment ref="D174" authorId="0">
      <text>
        <r>
          <rPr>
            <sz val="9"/>
            <color indexed="81"/>
            <rFont val="ＭＳ Ｐゴシック"/>
            <family val="3"/>
            <charset val="128"/>
          </rPr>
          <t xml:space="preserve">入力チェックシート、
イベント処理概要シート、
イベント処理詳細シート
「テストデータ作成込」
</t>
        </r>
      </text>
    </comment>
    <comment ref="E181" authorId="0">
      <text>
        <r>
          <rPr>
            <sz val="9"/>
            <color indexed="81"/>
            <rFont val="Meiryo UI"/>
            <family val="3"/>
            <charset val="128"/>
          </rPr>
          <t xml:space="preserve">画面要件シート・
入出力定義書シート
</t>
        </r>
      </text>
    </comment>
    <comment ref="E182" authorId="0">
      <text>
        <r>
          <rPr>
            <sz val="9"/>
            <color indexed="81"/>
            <rFont val="Meiryo UI"/>
            <family val="3"/>
            <charset val="128"/>
          </rPr>
          <t xml:space="preserve">画面要件シート・
入出力定義書シート
</t>
        </r>
      </text>
    </comment>
    <comment ref="D183" authorId="0">
      <text>
        <r>
          <rPr>
            <sz val="9"/>
            <color indexed="81"/>
            <rFont val="ＭＳ Ｐゴシック"/>
            <family val="3"/>
            <charset val="128"/>
          </rPr>
          <t xml:space="preserve">入力チェックシート、
イベント処理概要シート、
イベント処理詳細シート
「テストデータ作成込」
</t>
        </r>
      </text>
    </comment>
    <comment ref="E193" authorId="0">
      <text>
        <r>
          <rPr>
            <sz val="9"/>
            <color indexed="81"/>
            <rFont val="Meiryo UI"/>
            <family val="3"/>
            <charset val="128"/>
          </rPr>
          <t xml:space="preserve">画面要件シート・
入出力定義書シート
</t>
        </r>
      </text>
    </comment>
    <comment ref="D194" authorId="0">
      <text>
        <r>
          <rPr>
            <sz val="9"/>
            <color indexed="81"/>
            <rFont val="ＭＳ Ｐゴシック"/>
            <family val="3"/>
            <charset val="128"/>
          </rPr>
          <t xml:space="preserve">入力チェックシート、
イベント処理概要シート、
イベント処理詳細シート
「テストデータ作成込」
</t>
        </r>
      </text>
    </comment>
  </commentList>
</comments>
</file>

<file path=xl/comments2.xml><?xml version="1.0" encoding="utf-8"?>
<comments xmlns="http://schemas.openxmlformats.org/spreadsheetml/2006/main">
  <authors>
    <author>zudajijp</author>
  </authors>
  <commentList>
    <comment ref="C5" authorId="0">
      <text>
        <r>
          <rPr>
            <sz val="10"/>
            <color indexed="12"/>
            <rFont val="ＭＳ Ｐゴシック"/>
            <family val="3"/>
            <charset val="128"/>
          </rPr>
          <t xml:space="preserve">■再描画：
スケジュールを再描画します
①枠線/枠色の再描画
②ガントチャートの再描画
■データ移行：
ボタンを押すと別Excelファイルのデータをコピーできます
■スケジュール切替：
通常は最初に読み込んだファイルしか処理できませんが、「スケジュール切替」ボタンを押すことにより処理を切り替えます。
</t>
        </r>
      </text>
    </comment>
    <comment ref="M5" authorId="0">
      <text>
        <r>
          <rPr>
            <sz val="10"/>
            <color indexed="12"/>
            <rFont val="ＭＳ Ｐゴシック"/>
            <family val="3"/>
            <charset val="128"/>
          </rPr>
          <t>個別に休日を指定したい場合は
ここに日付(YYYY/MM/DD)を追加します</t>
        </r>
      </text>
    </comment>
    <comment ref="O5" authorId="0">
      <text>
        <r>
          <rPr>
            <sz val="10"/>
            <color indexed="12"/>
            <rFont val="ＭＳ Ｐゴシック"/>
            <family val="3"/>
            <charset val="128"/>
          </rPr>
          <t>個別に出勤日を指定したい場合は
ここに日付(YYYY/MM/DD)を追加します</t>
        </r>
      </text>
    </comment>
    <comment ref="T5" authorId="0">
      <text>
        <r>
          <rPr>
            <sz val="10"/>
            <color indexed="12"/>
            <rFont val="ＭＳ Ｐゴシック"/>
            <family val="3"/>
            <charset val="128"/>
          </rPr>
          <t>タスク一覧の表示書式を設定します
フォント/文字サイズ/文字色/文字スタイル/セル色が変更できます</t>
        </r>
      </text>
    </comment>
    <comment ref="AE5" authorId="0">
      <text>
        <r>
          <rPr>
            <sz val="10"/>
            <color indexed="12"/>
            <rFont val="ＭＳ Ｐゴシック"/>
            <family val="3"/>
            <charset val="128"/>
          </rPr>
          <t xml:space="preserve">以下、枠の種類/色/太さを変更できます
・枠上⇒枠全体の横線、
・枠下⇒中項目枠の横線、
・枠左⇒枠の縦線
</t>
        </r>
      </text>
    </comment>
    <comment ref="AG5" authorId="0">
      <text>
        <r>
          <rPr>
            <sz val="10"/>
            <color indexed="12"/>
            <rFont val="ＭＳ Ｐゴシック"/>
            <family val="3"/>
            <charset val="128"/>
          </rPr>
          <t xml:space="preserve">以下、枠の種類/色/太さを変更できます
・枠上⇒枠全体の横線、
・枠下⇒中項目枠の横線、
・枠左⇒枠の縦線
</t>
        </r>
      </text>
    </comment>
    <comment ref="F6" authorId="0">
      <text>
        <r>
          <rPr>
            <sz val="10"/>
            <color indexed="12"/>
            <rFont val="ＭＳ Ｐゴシック"/>
            <family val="3"/>
            <charset val="128"/>
          </rPr>
          <t>ONにすると実績のセルとチャートを表示します</t>
        </r>
      </text>
    </comment>
    <comment ref="I6" authorId="0">
      <text>
        <r>
          <rPr>
            <sz val="10"/>
            <color indexed="12"/>
            <rFont val="ＭＳ Ｐゴシック"/>
            <family val="3"/>
            <charset val="128"/>
          </rPr>
          <t>線の幅を「太い」「標準」「細い」から選択します</t>
        </r>
      </text>
    </comment>
    <comment ref="T6" authorId="0">
      <text>
        <r>
          <rPr>
            <sz val="10"/>
            <color indexed="12"/>
            <rFont val="ＭＳ Ｐゴシック"/>
            <family val="3"/>
            <charset val="128"/>
          </rPr>
          <t xml:space="preserve">以下、枠の種類/色/太さを変更できます
・枠上⇒枠全体の横線、
・枠下⇒中項目枠の横線、
・枠左⇒枠の縦線
</t>
        </r>
      </text>
    </comment>
    <comment ref="F7" authorId="0">
      <text>
        <r>
          <rPr>
            <sz val="10"/>
            <color indexed="12"/>
            <rFont val="ＭＳ Ｐゴシック"/>
            <family val="3"/>
            <charset val="128"/>
          </rPr>
          <t>ONにすると実績を進捗率で表示します</t>
        </r>
      </text>
    </comment>
    <comment ref="I7" authorId="0">
      <text>
        <r>
          <rPr>
            <sz val="10"/>
            <color indexed="12"/>
            <rFont val="ＭＳ Ｐゴシック"/>
            <family val="3"/>
            <charset val="128"/>
          </rPr>
          <t>実績線の表示方法を「上」
「重ねる」「下」から選択します</t>
        </r>
      </text>
    </comment>
    <comment ref="F8" authorId="0">
      <text>
        <r>
          <rPr>
            <sz val="10"/>
            <color indexed="12"/>
            <rFont val="ＭＳ Ｐゴシック"/>
            <family val="3"/>
            <charset val="128"/>
          </rPr>
          <t>ONにすると大項目の全体工数および日/週/月ごとの工数を表示します</t>
        </r>
      </text>
    </comment>
    <comment ref="I8" authorId="0">
      <text>
        <r>
          <rPr>
            <sz val="10"/>
            <color indexed="12"/>
            <rFont val="ＭＳ Ｐゴシック"/>
            <family val="3"/>
            <charset val="128"/>
          </rPr>
          <t>ウィンドウ枠固定位置をA1形式で設定します。空白の場合は解除します。</t>
        </r>
      </text>
    </comment>
    <comment ref="X8" authorId="0">
      <text>
        <r>
          <rPr>
            <sz val="10"/>
            <color indexed="12"/>
            <rFont val="ＭＳ Ｐゴシック"/>
            <family val="3"/>
            <charset val="128"/>
          </rPr>
          <t>セルの幅を設定します</t>
        </r>
      </text>
    </comment>
    <comment ref="F9" authorId="0">
      <text>
        <r>
          <rPr>
            <sz val="10"/>
            <color indexed="12"/>
            <rFont val="ＭＳ Ｐゴシック"/>
            <family val="3"/>
            <charset val="128"/>
          </rPr>
          <t>1人月の単位(人日)を指定します</t>
        </r>
      </text>
    </comment>
    <comment ref="F10" authorId="0">
      <text>
        <r>
          <rPr>
            <sz val="10"/>
            <color indexed="12"/>
            <rFont val="ＭＳ Ｐゴシック"/>
            <family val="3"/>
            <charset val="128"/>
          </rPr>
          <t>ONにするとタスク状態を表示します</t>
        </r>
      </text>
    </comment>
    <comment ref="F11" authorId="0">
      <text>
        <r>
          <rPr>
            <sz val="10"/>
            <color indexed="12"/>
            <rFont val="ＭＳ Ｐゴシック"/>
            <family val="3"/>
            <charset val="128"/>
          </rPr>
          <t>ONにするとグループ化で表示します</t>
        </r>
      </text>
    </comment>
    <comment ref="AE11" authorId="0">
      <text>
        <r>
          <rPr>
            <sz val="10"/>
            <color indexed="12"/>
            <rFont val="ＭＳ Ｐゴシック"/>
            <family val="3"/>
            <charset val="128"/>
          </rPr>
          <t>「工数」列の文字書式およびセル書式を設定します
少数桁数などの数値形式もここで変更できます</t>
        </r>
      </text>
    </comment>
    <comment ref="AG11" authorId="0">
      <text>
        <r>
          <rPr>
            <sz val="10"/>
            <color indexed="12"/>
            <rFont val="ＭＳ Ｐゴシック"/>
            <family val="3"/>
            <charset val="128"/>
          </rPr>
          <t>「工数」列の文字書式およびセル書式を設定します
少数桁数などの数値形式もここで変更できます</t>
        </r>
      </text>
    </comment>
    <comment ref="I12" authorId="0">
      <text>
        <r>
          <rPr>
            <sz val="10"/>
            <color indexed="12"/>
            <rFont val="ＭＳ Ｐゴシック"/>
            <family val="3"/>
            <charset val="128"/>
          </rPr>
          <t>ONにするとメニューボタンを表示します</t>
        </r>
      </text>
    </comment>
    <comment ref="T12" authorId="0">
      <text>
        <r>
          <rPr>
            <sz val="10"/>
            <color indexed="12"/>
            <rFont val="ＭＳ Ｐゴシック"/>
            <family val="3"/>
            <charset val="128"/>
          </rPr>
          <t>「工数」列の文字書式およびセル書式を設定します
少数桁数などの数値形式もここで変更できます</t>
        </r>
      </text>
    </comment>
    <comment ref="I13" authorId="0">
      <text>
        <r>
          <rPr>
            <sz val="10"/>
            <color indexed="12"/>
            <rFont val="ＭＳ Ｐゴシック"/>
            <family val="3"/>
            <charset val="128"/>
          </rPr>
          <t>ONにするとタスク操作ボタンを表示します</t>
        </r>
      </text>
    </comment>
    <comment ref="F14" authorId="0">
      <text>
        <r>
          <rPr>
            <sz val="10"/>
            <color indexed="12"/>
            <rFont val="ＭＳ Ｐゴシック"/>
            <family val="3"/>
            <charset val="128"/>
          </rPr>
          <t>ONにするとチャートに「開始日」を表示します</t>
        </r>
      </text>
    </comment>
    <comment ref="I14" authorId="0">
      <text>
        <r>
          <rPr>
            <sz val="10"/>
            <color indexed="12"/>
            <rFont val="ＭＳ Ｐゴシック"/>
            <family val="3"/>
            <charset val="128"/>
          </rPr>
          <t>ONにするとTODOボタンを表示します</t>
        </r>
      </text>
    </comment>
    <comment ref="X14" authorId="0">
      <text>
        <r>
          <rPr>
            <sz val="10"/>
            <color indexed="12"/>
            <rFont val="ＭＳ Ｐゴシック"/>
            <family val="3"/>
            <charset val="128"/>
          </rPr>
          <t>セルの幅を設定します</t>
        </r>
      </text>
    </comment>
    <comment ref="AE14" authorId="0">
      <text>
        <r>
          <rPr>
            <sz val="10"/>
            <color indexed="12"/>
            <rFont val="ＭＳ Ｐゴシック"/>
            <family val="3"/>
            <charset val="128"/>
          </rPr>
          <t>大項目に表示する工数の文字書式を設定します
"%d"を指定すると「人月」もしくは「人日」に置換します
少数部桁数を"%d","%1d","%2d"で指定できます(少数第2位まで)
「人月」「人日」の文字を含めた場合はそれぞれに固定します</t>
        </r>
      </text>
    </comment>
    <comment ref="AG14" authorId="0">
      <text>
        <r>
          <rPr>
            <sz val="10"/>
            <color indexed="12"/>
            <rFont val="ＭＳ Ｐゴシック"/>
            <family val="3"/>
            <charset val="128"/>
          </rPr>
          <t>大項目に表示する工数の文字書式を設定します
"%d"を指定すると「人月」もしくは「人日」に置換します
少数部桁数を"%d","%1d","%2d"で指定できます(少数第2位まで)
「人月」「人日」の文字を含めた場合はそれぞれに固定します</t>
        </r>
      </text>
    </comment>
    <comment ref="F15" authorId="0">
      <text>
        <r>
          <rPr>
            <sz val="10"/>
            <color indexed="12"/>
            <rFont val="ＭＳ Ｐゴシック"/>
            <family val="3"/>
            <charset val="128"/>
          </rPr>
          <t>ONにするとチャートに「終了日」を表示します</t>
        </r>
      </text>
    </comment>
    <comment ref="I15" authorId="0">
      <text>
        <r>
          <rPr>
            <sz val="10"/>
            <color indexed="12"/>
            <rFont val="ＭＳ Ｐゴシック"/>
            <family val="3"/>
            <charset val="128"/>
          </rPr>
          <t>ONにするとTODOボタンを表示します</t>
        </r>
      </text>
    </comment>
    <comment ref="T15" authorId="0">
      <text>
        <r>
          <rPr>
            <sz val="10"/>
            <color indexed="12"/>
            <rFont val="ＭＳ Ｐゴシック"/>
            <family val="3"/>
            <charset val="128"/>
          </rPr>
          <t>大項目に表示する工数の文字書式を設定します
"%d"を指定すると「人月」もしくは「人日」に置換します
少数部桁数を"%d","%1d","%2d"で指定できます(少数第2位まで)
「人月」「人日」の文字を含めた場合はそれぞれに固定します</t>
        </r>
      </text>
    </comment>
    <comment ref="AE15" authorId="0">
      <text>
        <r>
          <rPr>
            <sz val="10"/>
            <color indexed="12"/>
            <rFont val="ＭＳ Ｐゴシック"/>
            <family val="3"/>
            <charset val="128"/>
          </rPr>
          <t>マイルストーン記号入力時に自動で追加されるコメントの文字書式を設定します。</t>
        </r>
      </text>
    </comment>
    <comment ref="AG15" authorId="0">
      <text>
        <r>
          <rPr>
            <sz val="10"/>
            <color indexed="12"/>
            <rFont val="ＭＳ Ｐゴシック"/>
            <family val="3"/>
            <charset val="128"/>
          </rPr>
          <t>マイルストーン記号入力時に自動で追加されるコメントの文字書式を設定します。</t>
        </r>
      </text>
    </comment>
    <comment ref="C16" authorId="0">
      <text>
        <r>
          <rPr>
            <sz val="10"/>
            <color indexed="12"/>
            <rFont val="ＭＳ Ｐゴシック"/>
            <family val="3"/>
            <charset val="128"/>
          </rPr>
          <t>スケジュール表の表示開始日を入力します</t>
        </r>
      </text>
    </comment>
    <comment ref="F16" authorId="0">
      <text>
        <r>
          <rPr>
            <sz val="10"/>
            <color indexed="12"/>
            <rFont val="ＭＳ Ｐゴシック"/>
            <family val="3"/>
            <charset val="128"/>
          </rPr>
          <t>ONにするとチャートに先行タスクへの線を表示します</t>
        </r>
      </text>
    </comment>
    <comment ref="T16" authorId="0">
      <text>
        <r>
          <rPr>
            <sz val="10"/>
            <color indexed="12"/>
            <rFont val="ＭＳ Ｐゴシック"/>
            <family val="3"/>
            <charset val="128"/>
          </rPr>
          <t>マイルストーン記号入力時に自動で追加されるコメントの文字書式を設定します。</t>
        </r>
      </text>
    </comment>
    <comment ref="F17" authorId="0">
      <text>
        <r>
          <rPr>
            <sz val="10"/>
            <color indexed="12"/>
            <rFont val="ＭＳ Ｐゴシック"/>
            <family val="3"/>
            <charset val="128"/>
          </rPr>
          <t>ONにすると現在日線を表示します</t>
        </r>
      </text>
    </comment>
    <comment ref="AE17" authorId="0">
      <text>
        <r>
          <rPr>
            <sz val="10"/>
            <color indexed="12"/>
            <rFont val="ＭＳ Ｐゴシック"/>
            <family val="3"/>
            <charset val="128"/>
          </rPr>
          <t>予定（開始日/終了日）の書式を指定します</t>
        </r>
      </text>
    </comment>
    <comment ref="AG17" authorId="0">
      <text>
        <r>
          <rPr>
            <sz val="10"/>
            <color indexed="12"/>
            <rFont val="ＭＳ Ｐゴシック"/>
            <family val="3"/>
            <charset val="128"/>
          </rPr>
          <t>予定（開始日/終了日）の書式を指定します</t>
        </r>
      </text>
    </comment>
    <comment ref="F18" authorId="0">
      <text>
        <r>
          <rPr>
            <sz val="10"/>
            <color indexed="12"/>
            <rFont val="ＭＳ Ｐゴシック"/>
            <family val="3"/>
            <charset val="128"/>
          </rPr>
          <t>ONにするとイナズマ線を表示します</t>
        </r>
      </text>
    </comment>
    <comment ref="AE18" authorId="0">
      <text>
        <r>
          <rPr>
            <sz val="10"/>
            <color indexed="12"/>
            <rFont val="ＭＳ Ｐゴシック"/>
            <family val="3"/>
            <charset val="128"/>
          </rPr>
          <t>日数の書式を指定します</t>
        </r>
      </text>
    </comment>
    <comment ref="AG18" authorId="0">
      <text>
        <r>
          <rPr>
            <sz val="10"/>
            <color indexed="12"/>
            <rFont val="ＭＳ Ｐゴシック"/>
            <family val="3"/>
            <charset val="128"/>
          </rPr>
          <t>日数の書式を指定します</t>
        </r>
      </text>
    </comment>
    <comment ref="C19" authorId="0">
      <text>
        <r>
          <rPr>
            <sz val="10"/>
            <color indexed="12"/>
            <rFont val="ＭＳ Ｐゴシック"/>
            <family val="3"/>
            <charset val="128"/>
          </rPr>
          <t>スケジュール表の表示期間(日数)を入力します</t>
        </r>
      </text>
    </comment>
    <comment ref="F19" authorId="0">
      <text>
        <r>
          <rPr>
            <sz val="10"/>
            <color indexed="12"/>
            <rFont val="ＭＳ Ｐゴシック"/>
            <family val="3"/>
            <charset val="128"/>
          </rPr>
          <t>ONにすると「項目」のコメントをスケジュール表に表示します</t>
        </r>
      </text>
    </comment>
    <comment ref="I19" authorId="0">
      <text>
        <r>
          <rPr>
            <sz val="10"/>
            <color indexed="12"/>
            <rFont val="ＭＳ Ｐゴシック"/>
            <family val="3"/>
            <charset val="128"/>
          </rPr>
          <t>「スケジュール」シートの抽出ボタン名が変更されます</t>
        </r>
      </text>
    </comment>
    <comment ref="T19" authorId="0">
      <text>
        <r>
          <rPr>
            <sz val="10"/>
            <color indexed="12"/>
            <rFont val="ＭＳ Ｐゴシック"/>
            <family val="3"/>
            <charset val="128"/>
          </rPr>
          <t>予定/実績の表示書式を設定します
フォント/文字サイズ/文字色/文字スタイル/セル色が変更できます</t>
        </r>
      </text>
    </comment>
    <comment ref="AE19" authorId="0">
      <text>
        <r>
          <rPr>
            <sz val="10"/>
            <color indexed="12"/>
            <rFont val="ＭＳ Ｐゴシック"/>
            <family val="3"/>
            <charset val="128"/>
          </rPr>
          <t>実績（開始日/終了日）の書式を指定します</t>
        </r>
      </text>
    </comment>
    <comment ref="AG19" authorId="0">
      <text>
        <r>
          <rPr>
            <sz val="10"/>
            <color indexed="12"/>
            <rFont val="ＭＳ Ｐゴシック"/>
            <family val="3"/>
            <charset val="128"/>
          </rPr>
          <t>実績（開始日/終了日）の書式を指定します</t>
        </r>
      </text>
    </comment>
    <comment ref="I20" authorId="0">
      <text>
        <r>
          <rPr>
            <sz val="10"/>
            <color indexed="12"/>
            <rFont val="ＭＳ Ｐゴシック"/>
            <family val="3"/>
            <charset val="128"/>
          </rPr>
          <t>表示条件を指定します。
①「=工程」②「&lt;&gt;外注*」の場合、「担当」ボタンを押すと、担当者が「工程」と等しいか、「外注」で始まらない行が抽出されます</t>
        </r>
      </text>
    </comment>
    <comment ref="T20" authorId="0">
      <text>
        <r>
          <rPr>
            <sz val="10"/>
            <color indexed="12"/>
            <rFont val="ＭＳ Ｐゴシック"/>
            <family val="3"/>
            <charset val="128"/>
          </rPr>
          <t>予定（開始日/終了日）の書式を指定します</t>
        </r>
      </text>
    </comment>
    <comment ref="AE20" authorId="0">
      <text>
        <r>
          <rPr>
            <sz val="10"/>
            <color indexed="12"/>
            <rFont val="ＭＳ Ｐゴシック"/>
            <family val="3"/>
            <charset val="128"/>
          </rPr>
          <t>日数の書式を指定します</t>
        </r>
      </text>
    </comment>
    <comment ref="AG20" authorId="0">
      <text>
        <r>
          <rPr>
            <sz val="10"/>
            <color indexed="12"/>
            <rFont val="ＭＳ Ｐゴシック"/>
            <family val="3"/>
            <charset val="128"/>
          </rPr>
          <t>日数の書式を指定します</t>
        </r>
      </text>
    </comment>
    <comment ref="T21" authorId="0">
      <text>
        <r>
          <rPr>
            <sz val="10"/>
            <color indexed="12"/>
            <rFont val="ＭＳ Ｐゴシック"/>
            <family val="3"/>
            <charset val="128"/>
          </rPr>
          <t>日数の書式を指定します</t>
        </r>
      </text>
    </comment>
    <comment ref="C22" authorId="0">
      <text>
        <r>
          <rPr>
            <sz val="10"/>
            <color indexed="12"/>
            <rFont val="ＭＳ Ｐゴシック"/>
            <family val="3"/>
            <charset val="128"/>
          </rPr>
          <t>「月単位」「週単位」「日単位」「日(時間)単位」「時間単位」から選択します</t>
        </r>
      </text>
    </comment>
    <comment ref="T22" authorId="0">
      <text>
        <r>
          <rPr>
            <sz val="10"/>
            <color indexed="12"/>
            <rFont val="ＭＳ Ｐゴシック"/>
            <family val="3"/>
            <charset val="128"/>
          </rPr>
          <t>実績（開始日/終了日）の書式を指定します</t>
        </r>
      </text>
    </comment>
    <comment ref="AE22" authorId="0">
      <text>
        <r>
          <rPr>
            <sz val="10"/>
            <color indexed="12"/>
            <rFont val="ＭＳ Ｐゴシック"/>
            <family val="3"/>
            <charset val="128"/>
          </rPr>
          <t>予定（開始時刻/終了時刻）の書式を指定します</t>
        </r>
      </text>
    </comment>
    <comment ref="AG22" authorId="0">
      <text>
        <r>
          <rPr>
            <sz val="10"/>
            <color indexed="12"/>
            <rFont val="ＭＳ Ｐゴシック"/>
            <family val="3"/>
            <charset val="128"/>
          </rPr>
          <t>予定（開始時刻/終了時刻）の書式を指定します</t>
        </r>
      </text>
    </comment>
    <comment ref="F23" authorId="0">
      <text>
        <r>
          <rPr>
            <sz val="10"/>
            <color indexed="12"/>
            <rFont val="ＭＳ Ｐゴシック"/>
            <family val="3"/>
            <charset val="128"/>
          </rPr>
          <t>ONにすると大項目を表示します</t>
        </r>
      </text>
    </comment>
    <comment ref="I23" authorId="0">
      <text>
        <r>
          <rPr>
            <sz val="10"/>
            <color indexed="12"/>
            <rFont val="ＭＳ Ｐゴシック"/>
            <family val="3"/>
            <charset val="128"/>
          </rPr>
          <t>「スケジュール」シートの抽出ボタン名が変更されます</t>
        </r>
      </text>
    </comment>
    <comment ref="T23" authorId="0">
      <text>
        <r>
          <rPr>
            <sz val="10"/>
            <color indexed="12"/>
            <rFont val="ＭＳ Ｐゴシック"/>
            <family val="3"/>
            <charset val="128"/>
          </rPr>
          <t>日数の書式を指定します</t>
        </r>
      </text>
    </comment>
    <comment ref="X23" authorId="0">
      <text>
        <r>
          <rPr>
            <sz val="10"/>
            <color indexed="12"/>
            <rFont val="ＭＳ Ｐゴシック"/>
            <family val="3"/>
            <charset val="128"/>
          </rPr>
          <t>セルの幅を設定します</t>
        </r>
      </text>
    </comment>
    <comment ref="AE23" authorId="0">
      <text>
        <r>
          <rPr>
            <sz val="10"/>
            <color indexed="12"/>
            <rFont val="ＭＳ Ｐゴシック"/>
            <family val="3"/>
            <charset val="128"/>
          </rPr>
          <t>時間の書式を指定します</t>
        </r>
      </text>
    </comment>
    <comment ref="AG23" authorId="0">
      <text>
        <r>
          <rPr>
            <sz val="10"/>
            <color indexed="12"/>
            <rFont val="ＭＳ Ｐゴシック"/>
            <family val="3"/>
            <charset val="128"/>
          </rPr>
          <t>時間の書式を指定します</t>
        </r>
      </text>
    </comment>
    <comment ref="F24" authorId="0">
      <text>
        <r>
          <rPr>
            <sz val="10"/>
            <color indexed="12"/>
            <rFont val="ＭＳ Ｐゴシック"/>
            <family val="3"/>
            <charset val="128"/>
          </rPr>
          <t>ONにすると中項目を表示します</t>
        </r>
      </text>
    </comment>
    <comment ref="I24" authorId="0">
      <text>
        <r>
          <rPr>
            <sz val="10"/>
            <color indexed="12"/>
            <rFont val="ＭＳ Ｐゴシック"/>
            <family val="3"/>
            <charset val="128"/>
          </rPr>
          <t>表示条件を指定します。
①「=工程」②「&lt;&gt;外注*」の場合、「担当」ボタンを押すと、担当者が「工程」と等しいか、「外注」で始まらない行が抽出されます</t>
        </r>
      </text>
    </comment>
    <comment ref="AA24" authorId="0">
      <text>
        <r>
          <rPr>
            <sz val="10"/>
            <color indexed="12"/>
            <rFont val="ＭＳ Ｐゴシック"/>
            <family val="3"/>
            <charset val="128"/>
          </rPr>
          <t>チャート図形の基本種類「.」「 」「:」を入力した場合に表示するデフォルトを設定します
特に設定する必要が無い場合は空にしてください</t>
        </r>
      </text>
    </comment>
    <comment ref="AE24" authorId="0">
      <text>
        <r>
          <rPr>
            <sz val="10"/>
            <color indexed="12"/>
            <rFont val="ＭＳ Ｐゴシック"/>
            <family val="3"/>
            <charset val="128"/>
          </rPr>
          <t>実績（開始時刻/終了時刻）の書式を指定します</t>
        </r>
      </text>
    </comment>
    <comment ref="AG24" authorId="0">
      <text>
        <r>
          <rPr>
            <sz val="10"/>
            <color indexed="12"/>
            <rFont val="ＭＳ Ｐゴシック"/>
            <family val="3"/>
            <charset val="128"/>
          </rPr>
          <t>実績（開始時刻/終了時刻）の書式を指定します</t>
        </r>
      </text>
    </comment>
    <comment ref="C25" authorId="0">
      <text>
        <r>
          <rPr>
            <sz val="10"/>
            <color indexed="12"/>
            <rFont val="ＭＳ Ｐゴシック"/>
            <family val="3"/>
            <charset val="128"/>
          </rPr>
          <t>表示の基準日を現在日以外にしたい場合は、ここに日付(YYYY/MM/DD)を入力してください
今日を現在日にしたい場合はここをクリアしてください</t>
        </r>
      </text>
    </comment>
    <comment ref="F25" authorId="0">
      <text>
        <r>
          <rPr>
            <sz val="10"/>
            <color indexed="12"/>
            <rFont val="ＭＳ Ｐゴシック"/>
            <family val="3"/>
            <charset val="128"/>
          </rPr>
          <t>ONにすると項番を表示します</t>
        </r>
      </text>
    </comment>
    <comment ref="T25" authorId="0">
      <text>
        <r>
          <rPr>
            <sz val="10"/>
            <color indexed="12"/>
            <rFont val="ＭＳ Ｐゴシック"/>
            <family val="3"/>
            <charset val="128"/>
          </rPr>
          <t>予定（開始時刻/終了時刻）の書式を指定します</t>
        </r>
      </text>
    </comment>
    <comment ref="AE25" authorId="0">
      <text>
        <r>
          <rPr>
            <sz val="10"/>
            <color indexed="12"/>
            <rFont val="ＭＳ Ｐゴシック"/>
            <family val="3"/>
            <charset val="128"/>
          </rPr>
          <t>日数の書式を指定します</t>
        </r>
      </text>
    </comment>
    <comment ref="AG25" authorId="0">
      <text>
        <r>
          <rPr>
            <sz val="10"/>
            <color indexed="12"/>
            <rFont val="ＭＳ Ｐゴシック"/>
            <family val="3"/>
            <charset val="128"/>
          </rPr>
          <t>日数の書式を指定します</t>
        </r>
      </text>
    </comment>
    <comment ref="F26" authorId="0">
      <text>
        <r>
          <rPr>
            <sz val="10"/>
            <color indexed="12"/>
            <rFont val="ＭＳ Ｐゴシック"/>
            <family val="3"/>
            <charset val="128"/>
          </rPr>
          <t>ONにすると項目を表示します</t>
        </r>
      </text>
    </comment>
    <comment ref="T26" authorId="0">
      <text>
        <r>
          <rPr>
            <sz val="10"/>
            <color indexed="12"/>
            <rFont val="ＭＳ Ｐゴシック"/>
            <family val="3"/>
            <charset val="128"/>
          </rPr>
          <t>時間の書式を指定します</t>
        </r>
      </text>
    </comment>
    <comment ref="F27" authorId="0">
      <text>
        <r>
          <rPr>
            <sz val="10"/>
            <color indexed="12"/>
            <rFont val="ＭＳ Ｐゴシック"/>
            <family val="3"/>
            <charset val="128"/>
          </rPr>
          <t>ONにすると予定（開始日）を表示します</t>
        </r>
      </text>
    </comment>
    <comment ref="T27" authorId="0">
      <text>
        <r>
          <rPr>
            <sz val="10"/>
            <color indexed="12"/>
            <rFont val="ＭＳ Ｐゴシック"/>
            <family val="3"/>
            <charset val="128"/>
          </rPr>
          <t>実績（開始時刻/終了時刻）の書式を指定します</t>
        </r>
      </text>
    </comment>
    <comment ref="F28" authorId="0">
      <text>
        <r>
          <rPr>
            <sz val="10"/>
            <color indexed="12"/>
            <rFont val="ＭＳ Ｐゴシック"/>
            <family val="3"/>
            <charset val="128"/>
          </rPr>
          <t>ONにすると予定（日数）を表示します</t>
        </r>
      </text>
    </comment>
    <comment ref="I28" authorId="0">
      <text>
        <r>
          <rPr>
            <sz val="10"/>
            <color indexed="12"/>
            <rFont val="ＭＳ Ｐゴシック"/>
            <family val="3"/>
            <charset val="128"/>
          </rPr>
          <t>休日を指定する場合は「休」を入力します
休日を除いて終了日が計算され、チャートが描画されます</t>
        </r>
      </text>
    </comment>
    <comment ref="M28" authorId="0">
      <text>
        <r>
          <rPr>
            <sz val="10"/>
            <color indexed="12"/>
            <rFont val="ＭＳ Ｐゴシック"/>
            <family val="3"/>
            <charset val="128"/>
          </rPr>
          <t>個別に休日を指定したい場合は
ここに日付(YYYY/MM/DD)を追加します</t>
        </r>
      </text>
    </comment>
    <comment ref="T28" authorId="0">
      <text>
        <r>
          <rPr>
            <sz val="10"/>
            <color indexed="12"/>
            <rFont val="ＭＳ Ｐゴシック"/>
            <family val="3"/>
            <charset val="128"/>
          </rPr>
          <t>日数の書式を指定します</t>
        </r>
      </text>
    </comment>
    <comment ref="F29" authorId="0">
      <text>
        <r>
          <rPr>
            <sz val="10"/>
            <color indexed="12"/>
            <rFont val="ＭＳ Ｐゴシック"/>
            <family val="3"/>
            <charset val="128"/>
          </rPr>
          <t>ONにすると予定（終了日）を表示します</t>
        </r>
      </text>
    </comment>
    <comment ref="F30" authorId="0">
      <text>
        <r>
          <rPr>
            <sz val="10"/>
            <color indexed="12"/>
            <rFont val="ＭＳ Ｐゴシック"/>
            <family val="3"/>
            <charset val="128"/>
          </rPr>
          <t>ONにすると実績（開始日）を表示します</t>
        </r>
      </text>
    </comment>
    <comment ref="T30" authorId="0">
      <text>
        <r>
          <rPr>
            <sz val="10"/>
            <color indexed="12"/>
            <rFont val="ＭＳ Ｐゴシック"/>
            <family val="3"/>
            <charset val="128"/>
          </rPr>
          <t>「自動」にした場合、セル幅を文字に合わせて自動で調整します</t>
        </r>
      </text>
    </comment>
    <comment ref="X30" authorId="0">
      <text>
        <r>
          <rPr>
            <sz val="10"/>
            <color indexed="12"/>
            <rFont val="ＭＳ Ｐゴシック"/>
            <family val="3"/>
            <charset val="128"/>
          </rPr>
          <t>セルの幅を設定します</t>
        </r>
      </text>
    </comment>
    <comment ref="F31" authorId="0">
      <text>
        <r>
          <rPr>
            <sz val="10"/>
            <color indexed="12"/>
            <rFont val="ＭＳ Ｐゴシック"/>
            <family val="3"/>
            <charset val="128"/>
          </rPr>
          <t>ONにすると実績（日数）を表示します</t>
        </r>
      </text>
    </comment>
    <comment ref="Z31" authorId="0">
      <text>
        <r>
          <rPr>
            <sz val="10"/>
            <color indexed="12"/>
            <rFont val="ＭＳ Ｐゴシック"/>
            <family val="3"/>
            <charset val="128"/>
          </rPr>
          <t>背景画像を絶対パスで指定します
設定しない場合は空にしてください</t>
        </r>
      </text>
    </comment>
    <comment ref="F32" authorId="0">
      <text>
        <r>
          <rPr>
            <sz val="10"/>
            <color indexed="12"/>
            <rFont val="ＭＳ Ｐゴシック"/>
            <family val="3"/>
            <charset val="128"/>
          </rPr>
          <t>ONにすると実績（終了日）を表示します</t>
        </r>
      </text>
    </comment>
    <comment ref="F33" authorId="0">
      <text>
        <r>
          <rPr>
            <sz val="10"/>
            <color indexed="12"/>
            <rFont val="ＭＳ Ｐゴシック"/>
            <family val="3"/>
            <charset val="128"/>
          </rPr>
          <t>ONにすると実績（遅れ）を表示します</t>
        </r>
      </text>
    </comment>
    <comment ref="T33" authorId="0">
      <text>
        <r>
          <rPr>
            <sz val="10"/>
            <color indexed="12"/>
            <rFont val="ＭＳ Ｐゴシック"/>
            <family val="3"/>
            <charset val="128"/>
          </rPr>
          <t>タスクの状態ごとに表示方法を設定します
フォント/文字サイズ/文字色/文字スタイル/セル色が変更できます
"%d"を含む場合、日数などに置換します</t>
        </r>
      </text>
    </comment>
    <comment ref="F34" authorId="0">
      <text>
        <r>
          <rPr>
            <sz val="10"/>
            <color indexed="12"/>
            <rFont val="ＭＳ Ｐゴシック"/>
            <family val="3"/>
            <charset val="128"/>
          </rPr>
          <t>ONにすると実績（進捗）を表示します</t>
        </r>
      </text>
    </comment>
    <comment ref="X34" authorId="0">
      <text>
        <r>
          <rPr>
            <sz val="10"/>
            <color indexed="12"/>
            <rFont val="ＭＳ Ｐゴシック"/>
            <family val="3"/>
            <charset val="128"/>
          </rPr>
          <t>作業開始時刻を入力します</t>
        </r>
      </text>
    </comment>
    <comment ref="F35" authorId="0">
      <text>
        <r>
          <rPr>
            <sz val="10"/>
            <color indexed="12"/>
            <rFont val="ＭＳ Ｐゴシック"/>
            <family val="3"/>
            <charset val="128"/>
          </rPr>
          <t>ONにすると工数を表示します</t>
        </r>
      </text>
    </comment>
    <comment ref="X35" authorId="0">
      <text>
        <r>
          <rPr>
            <sz val="10"/>
            <color indexed="12"/>
            <rFont val="ＭＳ Ｐゴシック"/>
            <family val="3"/>
            <charset val="128"/>
          </rPr>
          <t>作業終了時刻を入力します</t>
        </r>
      </text>
    </comment>
    <comment ref="AA35" authorId="0">
      <text>
        <r>
          <rPr>
            <sz val="10"/>
            <color indexed="12"/>
            <rFont val="ＭＳ Ｐゴシック"/>
            <family val="3"/>
            <charset val="128"/>
          </rPr>
          <t>更新日時の表示位置を指定します
"A1:B2"の形式で指定してください
表示しない場合は空にしてください</t>
        </r>
      </text>
    </comment>
    <comment ref="F36" authorId="0">
      <text>
        <r>
          <rPr>
            <sz val="10"/>
            <color indexed="12"/>
            <rFont val="ＭＳ Ｐゴシック"/>
            <family val="3"/>
            <charset val="128"/>
          </rPr>
          <t>ONにすると先行を表示します</t>
        </r>
      </text>
    </comment>
    <comment ref="U36" authorId="0">
      <text>
        <r>
          <rPr>
            <sz val="10"/>
            <color indexed="12"/>
            <rFont val="ＭＳ Ｐゴシック"/>
            <family val="3"/>
            <charset val="128"/>
          </rPr>
          <t>タスク完了予定日までの残り日数を指定します</t>
        </r>
      </text>
    </comment>
    <comment ref="X36" authorId="0">
      <text>
        <r>
          <rPr>
            <sz val="10"/>
            <color indexed="12"/>
            <rFont val="ＭＳ Ｐゴシック"/>
            <family val="3"/>
            <charset val="128"/>
          </rPr>
          <t>スケジュール表の表示開始時刻を入力します</t>
        </r>
      </text>
    </comment>
    <comment ref="F37" authorId="0">
      <text>
        <r>
          <rPr>
            <sz val="10"/>
            <color indexed="12"/>
            <rFont val="ＭＳ Ｐゴシック"/>
            <family val="3"/>
            <charset val="128"/>
          </rPr>
          <t>ONにすると担当色を表示します</t>
        </r>
      </text>
    </comment>
    <comment ref="X37" authorId="0">
      <text>
        <r>
          <rPr>
            <sz val="10"/>
            <color indexed="12"/>
            <rFont val="ＭＳ Ｐゴシック"/>
            <family val="3"/>
            <charset val="128"/>
          </rPr>
          <t>スケジュール表の表示終了時刻を入力します</t>
        </r>
      </text>
    </comment>
    <comment ref="F38" authorId="0">
      <text>
        <r>
          <rPr>
            <sz val="10"/>
            <color indexed="12"/>
            <rFont val="ＭＳ Ｐゴシック"/>
            <family val="3"/>
            <charset val="128"/>
          </rPr>
          <t>ONにすると担当を表示します</t>
        </r>
      </text>
    </comment>
    <comment ref="X38" authorId="0">
      <text>
        <r>
          <rPr>
            <sz val="10"/>
            <color indexed="12"/>
            <rFont val="ＭＳ Ｐゴシック"/>
            <family val="3"/>
            <charset val="128"/>
          </rPr>
          <t>休み時間を指定します</t>
        </r>
      </text>
    </comment>
    <comment ref="F39" authorId="0">
      <text>
        <r>
          <rPr>
            <sz val="10"/>
            <color indexed="12"/>
            <rFont val="ＭＳ Ｐゴシック"/>
            <family val="3"/>
            <charset val="128"/>
          </rPr>
          <t>ONにすると状態を表示します</t>
        </r>
      </text>
    </comment>
    <comment ref="X39" authorId="0">
      <text>
        <r>
          <rPr>
            <sz val="10"/>
            <color indexed="12"/>
            <rFont val="ＭＳ Ｐゴシック"/>
            <family val="3"/>
            <charset val="128"/>
          </rPr>
          <t>休み時間を指定します</t>
        </r>
      </text>
    </comment>
    <comment ref="F40" authorId="0">
      <text>
        <r>
          <rPr>
            <sz val="10"/>
            <color indexed="12"/>
            <rFont val="ＭＳ Ｐゴシック"/>
            <family val="3"/>
            <charset val="128"/>
          </rPr>
          <t>ONにすると状態を表示します</t>
        </r>
      </text>
    </comment>
    <comment ref="I40" authorId="0">
      <text>
        <r>
          <rPr>
            <sz val="10"/>
            <color indexed="12"/>
            <rFont val="ＭＳ Ｐゴシック"/>
            <family val="3"/>
            <charset val="128"/>
          </rPr>
          <t>「ON」にすると、「リターンキー」「ダブルクリック」した時にカレンダーなどを表示します</t>
        </r>
      </text>
    </comment>
    <comment ref="U40" authorId="0">
      <text>
        <r>
          <rPr>
            <sz val="10"/>
            <color indexed="12"/>
            <rFont val="ＭＳ Ｐゴシック"/>
            <family val="3"/>
            <charset val="128"/>
          </rPr>
          <t>予定開始日までの残り日数を指定します</t>
        </r>
      </text>
    </comment>
    <comment ref="X40" authorId="0">
      <text>
        <r>
          <rPr>
            <sz val="10"/>
            <color indexed="12"/>
            <rFont val="ＭＳ Ｐゴシック"/>
            <family val="3"/>
            <charset val="128"/>
          </rPr>
          <t>休み時間を指定します</t>
        </r>
      </text>
    </comment>
    <comment ref="T44" authorId="0">
      <text>
        <r>
          <rPr>
            <sz val="10"/>
            <color indexed="12"/>
            <rFont val="ＭＳ Ｐゴシック"/>
            <family val="3"/>
            <charset val="128"/>
          </rPr>
          <t>ファイル出力でのファイル名の書式を設定します。
"*"はbook名に置換されます。年月日はyyyymmddです。
※ファイル名に使えない文字は指定しないでください。</t>
        </r>
      </text>
    </comment>
    <comment ref="Z44" authorId="0">
      <text>
        <r>
          <rPr>
            <sz val="10"/>
            <color indexed="12"/>
            <rFont val="ＭＳ Ｐゴシック"/>
            <family val="3"/>
            <charset val="128"/>
          </rPr>
          <t>表示言語を指定します</t>
        </r>
      </text>
    </comment>
    <comment ref="T45" authorId="0">
      <text>
        <r>
          <rPr>
            <sz val="10"/>
            <color indexed="12"/>
            <rFont val="ＭＳ Ｐゴシック"/>
            <family val="3"/>
            <charset val="128"/>
          </rPr>
          <t>担当者毎出力でのファイル名の書式を設定します。
"*"は担当者名に置換されます。年月日はyyyymmddです。
※ファイル名に使えない文字は指定しないでください。</t>
        </r>
      </text>
    </comment>
    <comment ref="AE55" authorId="0">
      <text>
        <r>
          <rPr>
            <sz val="10"/>
            <color indexed="12"/>
            <rFont val="ＭＳ Ｐゴシック"/>
            <family val="3"/>
            <charset val="128"/>
          </rPr>
          <t>背景画像を絶対パスで指定します
設定しない場合は空にしてください</t>
        </r>
      </text>
    </comment>
    <comment ref="AG55" authorId="0">
      <text>
        <r>
          <rPr>
            <sz val="10"/>
            <color indexed="12"/>
            <rFont val="ＭＳ Ｐゴシック"/>
            <family val="3"/>
            <charset val="128"/>
          </rPr>
          <t>背景画像を絶対パスで指定します
設定しない場合は空にしてください</t>
        </r>
      </text>
    </comment>
  </commentList>
</comments>
</file>

<file path=xl/sharedStrings.xml><?xml version="1.0" encoding="utf-8"?>
<sst xmlns="http://schemas.openxmlformats.org/spreadsheetml/2006/main" count="1173" uniqueCount="500">
  <si>
    <t>予定</t>
    <rPh sb="0" eb="2">
      <t>ヨテイ</t>
    </rPh>
    <phoneticPr fontId="5"/>
  </si>
  <si>
    <t>実績</t>
    <rPh sb="0" eb="2">
      <t>ジッセキ</t>
    </rPh>
    <phoneticPr fontId="5"/>
  </si>
  <si>
    <t>システム化計画</t>
  </si>
  <si>
    <t>調査・分析</t>
  </si>
  <si>
    <t>担当1</t>
  </si>
  <si>
    <t>システム化計画書作成</t>
  </si>
  <si>
    <t>システム化計画書DR</t>
  </si>
  <si>
    <t>プロジェクト計画</t>
  </si>
  <si>
    <t>工数見積もり</t>
  </si>
  <si>
    <t>開発計画書作成</t>
  </si>
  <si>
    <t>開発計画書DR</t>
  </si>
  <si>
    <t>要求定義</t>
  </si>
  <si>
    <t>要求仕様書作成</t>
  </si>
  <si>
    <t>外部設計</t>
  </si>
  <si>
    <t>画面設計</t>
  </si>
  <si>
    <t>担当2-1</t>
  </si>
  <si>
    <t>外部I/F設計</t>
  </si>
  <si>
    <t>担当2-2</t>
  </si>
  <si>
    <t>論理データ設計</t>
  </si>
  <si>
    <t>外部仕様書作成</t>
  </si>
  <si>
    <t>外部仕様書DR</t>
  </si>
  <si>
    <t>結合テスト仕様書作成</t>
  </si>
  <si>
    <t>結合テスト仕様書DR</t>
  </si>
  <si>
    <t>内部設計</t>
  </si>
  <si>
    <t>物理データ設計</t>
  </si>
  <si>
    <t>外注1</t>
  </si>
  <si>
    <t>機能仕様書作成</t>
  </si>
  <si>
    <t>機能仕様書DR</t>
  </si>
  <si>
    <t>モジュールテスト仕様書作成</t>
  </si>
  <si>
    <t>外注2</t>
  </si>
  <si>
    <t>詳細設計</t>
  </si>
  <si>
    <t>詳細設計書作成</t>
  </si>
  <si>
    <t>詳細設計書DR</t>
  </si>
  <si>
    <t>単体テスト仕様書作成</t>
  </si>
  <si>
    <t>単体テスト仕様書DR</t>
  </si>
  <si>
    <t>コーディング</t>
  </si>
  <si>
    <t>外注3-1</t>
  </si>
  <si>
    <t>単体テスト実施</t>
  </si>
  <si>
    <t>モジュールテスト</t>
  </si>
  <si>
    <t>モジュールテスト環境構築</t>
  </si>
  <si>
    <t>外注3-2</t>
  </si>
  <si>
    <t>モジュールテスト実施</t>
  </si>
  <si>
    <t>モジュールテスト結果報告</t>
  </si>
  <si>
    <t>結合テスト</t>
  </si>
  <si>
    <t>結合テスト環境構築</t>
  </si>
  <si>
    <t>結合テスト実施</t>
  </si>
  <si>
    <t>結合テスト結果報告</t>
  </si>
  <si>
    <t>システムテスト</t>
  </si>
  <si>
    <t>システムテスト環境構築</t>
  </si>
  <si>
    <t>担当3</t>
  </si>
  <si>
    <t>システムテスト実施</t>
  </si>
  <si>
    <t>システムテスト結果報告</t>
  </si>
  <si>
    <t>　</t>
    <phoneticPr fontId="5"/>
  </si>
  <si>
    <t/>
  </si>
  <si>
    <t>○</t>
  </si>
  <si>
    <t>　</t>
    <phoneticPr fontId="5"/>
  </si>
  <si>
    <t>休</t>
    <rPh sb="0" eb="1">
      <t>ヤス</t>
    </rPh>
    <phoneticPr fontId="5"/>
  </si>
  <si>
    <t>土</t>
    <rPh sb="0" eb="1">
      <t>ド</t>
    </rPh>
    <phoneticPr fontId="5"/>
  </si>
  <si>
    <t>外注</t>
    <rPh sb="0" eb="2">
      <t>ガイチュウ</t>
    </rPh>
    <phoneticPr fontId="5"/>
  </si>
  <si>
    <t>=工程</t>
    <rPh sb="1" eb="3">
      <t>コウテイ</t>
    </rPh>
    <phoneticPr fontId="5"/>
  </si>
  <si>
    <t>進捗</t>
    <rPh sb="0" eb="2">
      <t>シンチョク</t>
    </rPh>
    <phoneticPr fontId="4"/>
  </si>
  <si>
    <t>開始日</t>
    <phoneticPr fontId="5"/>
  </si>
  <si>
    <t>終了</t>
    <phoneticPr fontId="5"/>
  </si>
  <si>
    <t>遅れ</t>
    <phoneticPr fontId="5"/>
  </si>
  <si>
    <t>先行</t>
    <phoneticPr fontId="5"/>
  </si>
  <si>
    <t>.</t>
    <phoneticPr fontId="4"/>
  </si>
  <si>
    <t>担当</t>
    <phoneticPr fontId="5"/>
  </si>
  <si>
    <t>大項目</t>
    <phoneticPr fontId="5"/>
  </si>
  <si>
    <t>中項目</t>
    <phoneticPr fontId="5"/>
  </si>
  <si>
    <t>項番</t>
    <phoneticPr fontId="5"/>
  </si>
  <si>
    <t>項目</t>
    <phoneticPr fontId="5"/>
  </si>
  <si>
    <t>日数</t>
    <phoneticPr fontId="5"/>
  </si>
  <si>
    <t>終了日</t>
    <phoneticPr fontId="5"/>
  </si>
  <si>
    <t>開始</t>
    <phoneticPr fontId="5"/>
  </si>
  <si>
    <t>工数</t>
    <phoneticPr fontId="5"/>
  </si>
  <si>
    <t>基本計画</t>
    <phoneticPr fontId="4"/>
  </si>
  <si>
    <t>設計</t>
    <phoneticPr fontId="4"/>
  </si>
  <si>
    <t>プログラミング</t>
    <phoneticPr fontId="4"/>
  </si>
  <si>
    <t>試験</t>
    <phoneticPr fontId="4"/>
  </si>
  <si>
    <t>受入れ試験</t>
    <phoneticPr fontId="5"/>
  </si>
  <si>
    <t>要求仕様書DR</t>
    <phoneticPr fontId="4"/>
  </si>
  <si>
    <t>モジュールテスト仕様書DR</t>
    <phoneticPr fontId="4"/>
  </si>
  <si>
    <t>実装</t>
    <phoneticPr fontId="4"/>
  </si>
  <si>
    <t>ソースコードDR</t>
    <phoneticPr fontId="5"/>
  </si>
  <si>
    <t>受入れ試験実施</t>
    <phoneticPr fontId="5"/>
  </si>
  <si>
    <t>工程</t>
    <phoneticPr fontId="4"/>
  </si>
  <si>
    <t>担当1</t>
    <phoneticPr fontId="4"/>
  </si>
  <si>
    <t>外注2</t>
    <phoneticPr fontId="4"/>
  </si>
  <si>
    <t>外注3-1</t>
    <phoneticPr fontId="5"/>
  </si>
  <si>
    <t>担当3</t>
    <phoneticPr fontId="5"/>
  </si>
  <si>
    <t>状態</t>
    <rPh sb="0" eb="2">
      <t>ジョウタイ</t>
    </rPh>
    <phoneticPr fontId="4"/>
  </si>
  <si>
    <t>完了</t>
    <rPh sb="0" eb="2">
      <t>カンリョウ</t>
    </rPh>
    <phoneticPr fontId="4"/>
  </si>
  <si>
    <t>実行中</t>
    <rPh sb="0" eb="3">
      <t>ジッコウチュウ</t>
    </rPh>
    <phoneticPr fontId="4"/>
  </si>
  <si>
    <t>,&gt;-</t>
  </si>
  <si>
    <t>残り %d 日</t>
    <rPh sb="0" eb="1">
      <t>ザン</t>
    </rPh>
    <rPh sb="6" eb="7">
      <t>ニチ</t>
    </rPh>
    <phoneticPr fontId="4"/>
  </si>
  <si>
    <t>あと %d 日</t>
    <rPh sb="6" eb="7">
      <t>ニチ</t>
    </rPh>
    <phoneticPr fontId="4"/>
  </si>
  <si>
    <t>-</t>
    <phoneticPr fontId="4"/>
  </si>
  <si>
    <t>.&gt;-</t>
    <phoneticPr fontId="4"/>
  </si>
  <si>
    <t>:&gt;</t>
    <phoneticPr fontId="4"/>
  </si>
  <si>
    <t>大項目</t>
    <rPh sb="0" eb="3">
      <t>ダイコウモク</t>
    </rPh>
    <phoneticPr fontId="4"/>
  </si>
  <si>
    <t>中項目</t>
    <rPh sb="0" eb="1">
      <t>ナカ</t>
    </rPh>
    <rPh sb="1" eb="3">
      <t>コウモク</t>
    </rPh>
    <phoneticPr fontId="4"/>
  </si>
  <si>
    <t>項番</t>
    <rPh sb="0" eb="1">
      <t>コウ</t>
    </rPh>
    <rPh sb="1" eb="2">
      <t>バン</t>
    </rPh>
    <phoneticPr fontId="4"/>
  </si>
  <si>
    <t>項目</t>
    <rPh sb="0" eb="2">
      <t>コウモク</t>
    </rPh>
    <phoneticPr fontId="4"/>
  </si>
  <si>
    <t>先行</t>
    <rPh sb="0" eb="2">
      <t>センコウ</t>
    </rPh>
    <phoneticPr fontId="5"/>
  </si>
  <si>
    <t>標準</t>
    <rPh sb="0" eb="2">
      <t>ヒョウジュン</t>
    </rPh>
    <phoneticPr fontId="4"/>
  </si>
  <si>
    <t>担当</t>
    <phoneticPr fontId="4"/>
  </si>
  <si>
    <t>タイトル</t>
    <phoneticPr fontId="5"/>
  </si>
  <si>
    <t>担当</t>
    <phoneticPr fontId="4"/>
  </si>
  <si>
    <t>日</t>
    <rPh sb="0" eb="1">
      <t>ニチ</t>
    </rPh>
    <phoneticPr fontId="5"/>
  </si>
  <si>
    <t>月</t>
    <rPh sb="0" eb="1">
      <t>ゲツ</t>
    </rPh>
    <phoneticPr fontId="5"/>
  </si>
  <si>
    <t>9</t>
    <phoneticPr fontId="5"/>
  </si>
  <si>
    <t>9</t>
    <phoneticPr fontId="5"/>
  </si>
  <si>
    <t>遅れ %d 日</t>
    <rPh sb="0" eb="1">
      <t>オク</t>
    </rPh>
    <rPh sb="6" eb="7">
      <t>ニチ</t>
    </rPh>
    <phoneticPr fontId="4"/>
  </si>
  <si>
    <t>遅れ %d 日</t>
    <rPh sb="6" eb="7">
      <t>ニチ</t>
    </rPh>
    <phoneticPr fontId="4"/>
  </si>
  <si>
    <t>遅れ %d 日</t>
    <phoneticPr fontId="4"/>
  </si>
  <si>
    <t>[ %2d ]</t>
    <phoneticPr fontId="5"/>
  </si>
  <si>
    <t>[ %2d ]</t>
    <phoneticPr fontId="5"/>
  </si>
  <si>
    <t>ON</t>
    <phoneticPr fontId="5"/>
  </si>
  <si>
    <t>ON</t>
    <phoneticPr fontId="5"/>
  </si>
  <si>
    <t>ON</t>
    <phoneticPr fontId="5"/>
  </si>
  <si>
    <t>休</t>
    <phoneticPr fontId="5"/>
  </si>
  <si>
    <t>=外注*</t>
    <phoneticPr fontId="5"/>
  </si>
  <si>
    <t>担当</t>
    <phoneticPr fontId="5"/>
  </si>
  <si>
    <t>=工程</t>
    <phoneticPr fontId="5"/>
  </si>
  <si>
    <t>&lt;&gt;外注*</t>
    <phoneticPr fontId="5"/>
  </si>
  <si>
    <t>ON</t>
    <phoneticPr fontId="5"/>
  </si>
  <si>
    <t>-</t>
  </si>
  <si>
    <t>標準</t>
    <phoneticPr fontId="5"/>
  </si>
  <si>
    <t>工程</t>
  </si>
  <si>
    <r>
      <t>P1:</t>
    </r>
    <r>
      <rPr>
        <sz val="10"/>
        <rFont val="ＭＳ Ｐゴシック"/>
        <family val="3"/>
        <charset val="128"/>
      </rPr>
      <t>R</t>
    </r>
    <r>
      <rPr>
        <sz val="10"/>
        <rFont val="ＭＳ Ｐゴシック"/>
        <family val="3"/>
        <charset val="128"/>
      </rPr>
      <t>1</t>
    </r>
    <phoneticPr fontId="5"/>
  </si>
  <si>
    <t>yyyy/mm/dd h:mm"更新"</t>
    <phoneticPr fontId="5"/>
  </si>
  <si>
    <t>_</t>
    <phoneticPr fontId="4"/>
  </si>
  <si>
    <t>:</t>
    <phoneticPr fontId="4"/>
  </si>
  <si>
    <t>"*_"yyyymmdd</t>
    <phoneticPr fontId="5"/>
  </si>
  <si>
    <t>"*_"yyyymmdd</t>
    <phoneticPr fontId="5"/>
  </si>
  <si>
    <t>文字</t>
    <rPh sb="0" eb="2">
      <t>モジ</t>
    </rPh>
    <phoneticPr fontId="5"/>
  </si>
  <si>
    <t>OFF</t>
    <phoneticPr fontId="5"/>
  </si>
  <si>
    <t>Japanese</t>
  </si>
  <si>
    <t>大項目</t>
    <phoneticPr fontId="5"/>
  </si>
  <si>
    <t>中項目</t>
    <phoneticPr fontId="5"/>
  </si>
  <si>
    <t>項番</t>
    <phoneticPr fontId="5"/>
  </si>
  <si>
    <t>担当</t>
    <phoneticPr fontId="4"/>
  </si>
  <si>
    <t>◆表示設定</t>
    <phoneticPr fontId="5"/>
  </si>
  <si>
    <t>◆チャート処理</t>
    <phoneticPr fontId="5"/>
  </si>
  <si>
    <t>データ処理</t>
    <phoneticPr fontId="5"/>
  </si>
  <si>
    <t>◆チャート表示設定</t>
    <phoneticPr fontId="5"/>
  </si>
  <si>
    <t>チャート表示開始日</t>
    <phoneticPr fontId="5"/>
  </si>
  <si>
    <t>チャート表示期間(日)</t>
    <phoneticPr fontId="5"/>
  </si>
  <si>
    <t>チャート表示単位</t>
    <phoneticPr fontId="5"/>
  </si>
  <si>
    <t>表示基準日(現在日)</t>
    <phoneticPr fontId="5"/>
  </si>
  <si>
    <t>◆タスク表示設定</t>
    <phoneticPr fontId="5"/>
  </si>
  <si>
    <t>状態表示設定</t>
    <phoneticPr fontId="5"/>
  </si>
  <si>
    <t>実績表示</t>
    <phoneticPr fontId="5"/>
  </si>
  <si>
    <t>進捗率表示</t>
    <phoneticPr fontId="4"/>
  </si>
  <si>
    <t>工数表示</t>
    <phoneticPr fontId="5"/>
  </si>
  <si>
    <t>1人月=</t>
    <phoneticPr fontId="4"/>
  </si>
  <si>
    <t>状態表示</t>
    <phoneticPr fontId="5"/>
  </si>
  <si>
    <t>オブジェクト表示設定</t>
    <phoneticPr fontId="5"/>
  </si>
  <si>
    <t>開始日表示</t>
    <phoneticPr fontId="5"/>
  </si>
  <si>
    <t>終了日表示</t>
    <phoneticPr fontId="5"/>
  </si>
  <si>
    <t>先行タスク線表示</t>
    <phoneticPr fontId="5"/>
  </si>
  <si>
    <t>現在日線表示</t>
    <phoneticPr fontId="5"/>
  </si>
  <si>
    <t>イナズマ線表示</t>
    <phoneticPr fontId="5"/>
  </si>
  <si>
    <t>コメント表示</t>
    <phoneticPr fontId="5"/>
  </si>
  <si>
    <t>項目表示設定</t>
    <phoneticPr fontId="5"/>
  </si>
  <si>
    <t>項目</t>
    <phoneticPr fontId="4"/>
  </si>
  <si>
    <t>予定 (開始日)</t>
    <phoneticPr fontId="4"/>
  </si>
  <si>
    <t>予定 (日数)</t>
    <phoneticPr fontId="4"/>
  </si>
  <si>
    <t>予定 (終了日)</t>
    <phoneticPr fontId="4"/>
  </si>
  <si>
    <t>実績 (開始)</t>
    <phoneticPr fontId="4"/>
  </si>
  <si>
    <t>実績 (日数)</t>
    <phoneticPr fontId="4"/>
  </si>
  <si>
    <t>実績 (終了)</t>
    <phoneticPr fontId="4"/>
  </si>
  <si>
    <t>実績 (遅れ)</t>
    <phoneticPr fontId="4"/>
  </si>
  <si>
    <t>実績 (進捗)</t>
    <phoneticPr fontId="4"/>
  </si>
  <si>
    <t>工数</t>
    <phoneticPr fontId="4"/>
  </si>
  <si>
    <t>先行</t>
    <phoneticPr fontId="4"/>
  </si>
  <si>
    <t>担当色</t>
    <phoneticPr fontId="4"/>
  </si>
  <si>
    <t>状態</t>
    <phoneticPr fontId="4"/>
  </si>
  <si>
    <t>全てON/OFF</t>
    <phoneticPr fontId="5"/>
  </si>
  <si>
    <t>◆チャート設定</t>
    <phoneticPr fontId="5"/>
  </si>
  <si>
    <t>表示設定</t>
    <phoneticPr fontId="5"/>
  </si>
  <si>
    <t>線の幅</t>
    <phoneticPr fontId="5"/>
  </si>
  <si>
    <t>実績位置</t>
    <phoneticPr fontId="5"/>
  </si>
  <si>
    <t>枠固定</t>
    <phoneticPr fontId="5"/>
  </si>
  <si>
    <t>◆ボタン表示</t>
    <phoneticPr fontId="5"/>
  </si>
  <si>
    <t>ボタン</t>
    <phoneticPr fontId="5"/>
  </si>
  <si>
    <t>メニュー</t>
    <phoneticPr fontId="5"/>
  </si>
  <si>
    <t>タスク操作</t>
    <phoneticPr fontId="5"/>
  </si>
  <si>
    <t>TODO</t>
    <phoneticPr fontId="5"/>
  </si>
  <si>
    <t>抽出設定</t>
    <phoneticPr fontId="5"/>
  </si>
  <si>
    <t>◆抽出設定</t>
    <phoneticPr fontId="5"/>
  </si>
  <si>
    <t>抽出条件１</t>
    <phoneticPr fontId="5"/>
  </si>
  <si>
    <t>ボタン名</t>
    <phoneticPr fontId="5"/>
  </si>
  <si>
    <t>第１条件</t>
    <phoneticPr fontId="5"/>
  </si>
  <si>
    <t>第２条件</t>
    <phoneticPr fontId="5"/>
  </si>
  <si>
    <t>抽出条件２</t>
    <phoneticPr fontId="5"/>
  </si>
  <si>
    <t>◆作業日設定</t>
    <phoneticPr fontId="5"/>
  </si>
  <si>
    <t>作業日</t>
    <phoneticPr fontId="5"/>
  </si>
  <si>
    <t>◆表示言語設定</t>
    <phoneticPr fontId="5"/>
  </si>
  <si>
    <t>=第１条件</t>
    <phoneticPr fontId="5"/>
  </si>
  <si>
    <t>=第２条件</t>
    <phoneticPr fontId="5"/>
  </si>
  <si>
    <t>出</t>
    <phoneticPr fontId="5"/>
  </si>
  <si>
    <t>休</t>
    <phoneticPr fontId="5"/>
  </si>
  <si>
    <t>自動</t>
    <phoneticPr fontId="5"/>
  </si>
  <si>
    <t>標準</t>
    <phoneticPr fontId="5"/>
  </si>
  <si>
    <t>開発チーム</t>
    <phoneticPr fontId="5"/>
  </si>
  <si>
    <t>◆担当者一覧</t>
    <phoneticPr fontId="5"/>
  </si>
  <si>
    <t>担当</t>
    <phoneticPr fontId="4"/>
  </si>
  <si>
    <t>メンバ</t>
    <phoneticPr fontId="4"/>
  </si>
  <si>
    <t>開始</t>
    <phoneticPr fontId="4"/>
  </si>
  <si>
    <t>終了</t>
    <phoneticPr fontId="4"/>
  </si>
  <si>
    <t>休出区別</t>
    <phoneticPr fontId="4"/>
  </si>
  <si>
    <t>サンプル</t>
    <phoneticPr fontId="4"/>
  </si>
  <si>
    <t>◆標準工程</t>
    <phoneticPr fontId="5"/>
  </si>
  <si>
    <t>日曜日</t>
    <phoneticPr fontId="5"/>
  </si>
  <si>
    <t>月曜日</t>
    <phoneticPr fontId="5"/>
  </si>
  <si>
    <t>火曜日</t>
    <phoneticPr fontId="5"/>
  </si>
  <si>
    <t>水曜日</t>
    <phoneticPr fontId="5"/>
  </si>
  <si>
    <t>木曜日</t>
    <phoneticPr fontId="5"/>
  </si>
  <si>
    <t>金曜日</t>
    <phoneticPr fontId="5"/>
  </si>
  <si>
    <t>土曜日</t>
    <phoneticPr fontId="5"/>
  </si>
  <si>
    <t>祝日</t>
    <phoneticPr fontId="5"/>
  </si>
  <si>
    <t>◆動作設定</t>
    <phoneticPr fontId="5"/>
  </si>
  <si>
    <t>動作設定</t>
    <phoneticPr fontId="5"/>
  </si>
  <si>
    <t>入力補助</t>
    <phoneticPr fontId="5"/>
  </si>
  <si>
    <t>◆休出勤設定1</t>
    <phoneticPr fontId="5"/>
  </si>
  <si>
    <t>◆休日設定(個別)</t>
    <phoneticPr fontId="5"/>
  </si>
  <si>
    <t>◆出勤設定(個別)</t>
    <phoneticPr fontId="5"/>
  </si>
  <si>
    <t>◆休出勤設定2</t>
    <phoneticPr fontId="5"/>
  </si>
  <si>
    <t>◆書式設定</t>
    <phoneticPr fontId="5"/>
  </si>
  <si>
    <t>◆一覧表書式</t>
    <phoneticPr fontId="4"/>
  </si>
  <si>
    <t>セル/文字/枠書式</t>
    <phoneticPr fontId="5"/>
  </si>
  <si>
    <t>大項目</t>
    <phoneticPr fontId="4"/>
  </si>
  <si>
    <t>中項目</t>
    <phoneticPr fontId="4"/>
  </si>
  <si>
    <t>項番</t>
    <phoneticPr fontId="4"/>
  </si>
  <si>
    <t>先行</t>
    <phoneticPr fontId="5"/>
  </si>
  <si>
    <t>人月</t>
    <phoneticPr fontId="4"/>
  </si>
  <si>
    <t>コメント</t>
    <phoneticPr fontId="4"/>
  </si>
  <si>
    <t>◆日時表示形式</t>
    <phoneticPr fontId="5"/>
  </si>
  <si>
    <t>表示形式</t>
    <phoneticPr fontId="5"/>
  </si>
  <si>
    <t>予定(日)</t>
    <phoneticPr fontId="4"/>
  </si>
  <si>
    <t>日数</t>
    <phoneticPr fontId="4"/>
  </si>
  <si>
    <t>実績(日)</t>
    <phoneticPr fontId="4"/>
  </si>
  <si>
    <t>遅れ</t>
    <phoneticPr fontId="5"/>
  </si>
  <si>
    <t>進捗</t>
    <phoneticPr fontId="5"/>
  </si>
  <si>
    <t>予定(時)</t>
    <phoneticPr fontId="4"/>
  </si>
  <si>
    <t>時間</t>
    <phoneticPr fontId="4"/>
  </si>
  <si>
    <t>実績(時)</t>
    <phoneticPr fontId="4"/>
  </si>
  <si>
    <t>幅調整</t>
    <phoneticPr fontId="4"/>
  </si>
  <si>
    <t>◆状態設定</t>
    <phoneticPr fontId="5"/>
  </si>
  <si>
    <t>タスク状態</t>
    <phoneticPr fontId="5"/>
  </si>
  <si>
    <t>デフォルト</t>
    <phoneticPr fontId="5"/>
  </si>
  <si>
    <t>実行中</t>
    <phoneticPr fontId="5"/>
  </si>
  <si>
    <t>完了</t>
    <phoneticPr fontId="4"/>
  </si>
  <si>
    <t>開始遅れ</t>
    <phoneticPr fontId="4"/>
  </si>
  <si>
    <t>終了遅れ</t>
    <phoneticPr fontId="4"/>
  </si>
  <si>
    <t>予定間近</t>
    <phoneticPr fontId="5"/>
  </si>
  <si>
    <t>◆ファイル設定</t>
    <phoneticPr fontId="5"/>
  </si>
  <si>
    <t>保存ファイル名書式</t>
    <phoneticPr fontId="5"/>
  </si>
  <si>
    <t>通常</t>
    <phoneticPr fontId="4"/>
  </si>
  <si>
    <t>担当者毎</t>
    <phoneticPr fontId="5"/>
  </si>
  <si>
    <t>◆日程表書式(月別)</t>
    <phoneticPr fontId="5"/>
  </si>
  <si>
    <t>年</t>
    <phoneticPr fontId="5"/>
  </si>
  <si>
    <t>月</t>
    <phoneticPr fontId="5"/>
  </si>
  <si>
    <t>幅</t>
    <phoneticPr fontId="5"/>
  </si>
  <si>
    <t>◆日程表書式(週別)</t>
    <phoneticPr fontId="5"/>
  </si>
  <si>
    <t>日付</t>
    <phoneticPr fontId="5"/>
  </si>
  <si>
    <t>◆日程表書式(日別)</t>
    <phoneticPr fontId="5"/>
  </si>
  <si>
    <t>曜日(休)</t>
    <phoneticPr fontId="5"/>
  </si>
  <si>
    <t>曜日(出)</t>
    <phoneticPr fontId="5"/>
  </si>
  <si>
    <t>曜日(土)</t>
    <phoneticPr fontId="5"/>
  </si>
  <si>
    <t>曜日(休２)</t>
    <phoneticPr fontId="5"/>
  </si>
  <si>
    <t>◆日程表書式(時間)</t>
    <phoneticPr fontId="5"/>
  </si>
  <si>
    <t>時刻(休)</t>
    <phoneticPr fontId="5"/>
  </si>
  <si>
    <t>時刻(出)</t>
    <phoneticPr fontId="5"/>
  </si>
  <si>
    <t>◆時間設定</t>
    <phoneticPr fontId="5"/>
  </si>
  <si>
    <t>時刻設定</t>
    <phoneticPr fontId="5"/>
  </si>
  <si>
    <t>開始時刻</t>
    <phoneticPr fontId="4"/>
  </si>
  <si>
    <t>終了時刻</t>
    <phoneticPr fontId="4"/>
  </si>
  <si>
    <t>表示開始</t>
    <phoneticPr fontId="4"/>
  </si>
  <si>
    <t>表示終了</t>
    <phoneticPr fontId="4"/>
  </si>
  <si>
    <t>休み時間</t>
    <phoneticPr fontId="4"/>
  </si>
  <si>
    <t>休み時間</t>
    <phoneticPr fontId="5"/>
  </si>
  <si>
    <t>◆チャート種類</t>
    <phoneticPr fontId="4"/>
  </si>
  <si>
    <t>デフォルト設定</t>
    <phoneticPr fontId="4"/>
  </si>
  <si>
    <t>工程用</t>
    <phoneticPr fontId="5"/>
  </si>
  <si>
    <t>工程用（文字無）</t>
    <phoneticPr fontId="5"/>
  </si>
  <si>
    <t>スケジュール</t>
    <phoneticPr fontId="5"/>
  </si>
  <si>
    <t>マイルストーン</t>
    <phoneticPr fontId="4"/>
  </si>
  <si>
    <t>◆背景画像設定</t>
    <phoneticPr fontId="5"/>
  </si>
  <si>
    <t>◆更新日時設定</t>
    <phoneticPr fontId="5"/>
  </si>
  <si>
    <t>↓表示/位置→</t>
    <phoneticPr fontId="5"/>
  </si>
  <si>
    <t>線書式</t>
    <phoneticPr fontId="5"/>
  </si>
  <si>
    <t>先行　　現在　　イナズマ</t>
    <phoneticPr fontId="5"/>
  </si>
  <si>
    <t>表示切替</t>
    <phoneticPr fontId="4"/>
  </si>
  <si>
    <t>◆テンプレート</t>
    <phoneticPr fontId="5"/>
  </si>
  <si>
    <t>ログレベル</t>
    <phoneticPr fontId="5"/>
  </si>
  <si>
    <t>01</t>
    <phoneticPr fontId="4"/>
  </si>
  <si>
    <t>02</t>
    <phoneticPr fontId="4"/>
  </si>
  <si>
    <t>03</t>
    <phoneticPr fontId="4"/>
  </si>
  <si>
    <t>04</t>
    <phoneticPr fontId="4"/>
  </si>
  <si>
    <t>05</t>
    <phoneticPr fontId="4"/>
  </si>
  <si>
    <t>06</t>
    <phoneticPr fontId="4"/>
  </si>
  <si>
    <t>07</t>
    <phoneticPr fontId="4"/>
  </si>
  <si>
    <t>08</t>
    <phoneticPr fontId="4"/>
  </si>
  <si>
    <t>09</t>
    <phoneticPr fontId="4"/>
  </si>
  <si>
    <t>01</t>
    <phoneticPr fontId="4"/>
  </si>
  <si>
    <t>09</t>
    <phoneticPr fontId="4"/>
  </si>
  <si>
    <t>週単位</t>
    <phoneticPr fontId="5"/>
  </si>
  <si>
    <t>ON</t>
    <phoneticPr fontId="5"/>
  </si>
  <si>
    <t>項目</t>
    <rPh sb="0" eb="2">
      <t>コウモク</t>
    </rPh>
    <phoneticPr fontId="5"/>
  </si>
  <si>
    <t>グループ表示</t>
    <phoneticPr fontId="5"/>
  </si>
  <si>
    <t>標準</t>
    <phoneticPr fontId="5"/>
  </si>
  <si>
    <t>下</t>
    <phoneticPr fontId="5"/>
  </si>
  <si>
    <t>E4</t>
    <phoneticPr fontId="5"/>
  </si>
  <si>
    <t>マイルストーン１</t>
    <phoneticPr fontId="5"/>
  </si>
  <si>
    <t>図形</t>
    <rPh sb="0" eb="2">
      <t>ズケイ</t>
    </rPh>
    <phoneticPr fontId="5"/>
  </si>
  <si>
    <t>項目名</t>
    <rPh sb="0" eb="2">
      <t>コウモク</t>
    </rPh>
    <rPh sb="2" eb="3">
      <t>メイ</t>
    </rPh>
    <phoneticPr fontId="5"/>
  </si>
  <si>
    <r>
      <t>:</t>
    </r>
    <r>
      <rPr>
        <sz val="10"/>
        <rFont val="ＭＳ Ｐゴシック"/>
        <family val="3"/>
        <charset val="128"/>
      </rPr>
      <t>^</t>
    </r>
    <phoneticPr fontId="5"/>
  </si>
  <si>
    <t>:</t>
    <phoneticPr fontId="5"/>
  </si>
  <si>
    <t>:;</t>
    <phoneticPr fontId="5"/>
  </si>
  <si>
    <t>要件定義完了</t>
    <rPh sb="0" eb="2">
      <t>ヨウケン</t>
    </rPh>
    <rPh sb="2" eb="4">
      <t>テイギ</t>
    </rPh>
    <rPh sb="4" eb="6">
      <t>カンリョウ</t>
    </rPh>
    <phoneticPr fontId="5"/>
  </si>
  <si>
    <t>設計完了</t>
    <rPh sb="0" eb="2">
      <t>セッケイ</t>
    </rPh>
    <rPh sb="2" eb="4">
      <t>カンリョウ</t>
    </rPh>
    <phoneticPr fontId="5"/>
  </si>
  <si>
    <t>実装完了</t>
    <rPh sb="0" eb="2">
      <t>ジッソウ</t>
    </rPh>
    <rPh sb="2" eb="4">
      <t>カンリョウ</t>
    </rPh>
    <phoneticPr fontId="5"/>
  </si>
  <si>
    <t>テスト完了</t>
    <rPh sb="3" eb="5">
      <t>カンリョウ</t>
    </rPh>
    <phoneticPr fontId="5"/>
  </si>
  <si>
    <t>C:\WINDOWS\しゃくなげ.bmp</t>
    <phoneticPr fontId="5"/>
  </si>
  <si>
    <t>OFF</t>
    <phoneticPr fontId="5"/>
  </si>
  <si>
    <t>OFF</t>
    <phoneticPr fontId="5"/>
  </si>
  <si>
    <t>ON</t>
    <phoneticPr fontId="5"/>
  </si>
  <si>
    <t>予定</t>
    <phoneticPr fontId="5"/>
  </si>
  <si>
    <t>実績</t>
    <phoneticPr fontId="5"/>
  </si>
  <si>
    <t>大項目</t>
    <phoneticPr fontId="5"/>
  </si>
  <si>
    <t>中項目</t>
    <phoneticPr fontId="5"/>
  </si>
  <si>
    <t>項番</t>
    <phoneticPr fontId="5"/>
  </si>
  <si>
    <t>項目</t>
    <phoneticPr fontId="5"/>
  </si>
  <si>
    <t>開始日</t>
    <phoneticPr fontId="5"/>
  </si>
  <si>
    <t>終了日</t>
    <phoneticPr fontId="5"/>
  </si>
  <si>
    <t>開始</t>
    <phoneticPr fontId="5"/>
  </si>
  <si>
    <t>終了</t>
    <phoneticPr fontId="5"/>
  </si>
  <si>
    <t>遅れ</t>
    <phoneticPr fontId="5"/>
  </si>
  <si>
    <t>進捗</t>
    <phoneticPr fontId="5"/>
  </si>
  <si>
    <t>工数</t>
    <phoneticPr fontId="5"/>
  </si>
  <si>
    <t>先行</t>
    <phoneticPr fontId="5"/>
  </si>
  <si>
    <t>担当</t>
    <phoneticPr fontId="5"/>
  </si>
  <si>
    <t>状態</t>
    <phoneticPr fontId="5"/>
  </si>
  <si>
    <t>マイルストーン</t>
    <phoneticPr fontId="4"/>
  </si>
  <si>
    <t>-</t>
    <phoneticPr fontId="4"/>
  </si>
  <si>
    <t>フロント実装</t>
    <rPh sb="4" eb="6">
      <t>ジッソウ</t>
    </rPh>
    <phoneticPr fontId="4"/>
  </si>
  <si>
    <t>開発・単体</t>
    <rPh sb="0" eb="2">
      <t>カイハツ</t>
    </rPh>
    <rPh sb="3" eb="5">
      <t>タンタイ</t>
    </rPh>
    <phoneticPr fontId="4"/>
  </si>
  <si>
    <t>環境構築</t>
    <rPh sb="0" eb="4">
      <t>カンキョウコウチク</t>
    </rPh>
    <phoneticPr fontId="4"/>
  </si>
  <si>
    <t>出荷調整画面</t>
    <rPh sb="0" eb="6">
      <t>シュッカチョウセイガメン</t>
    </rPh>
    <phoneticPr fontId="4"/>
  </si>
  <si>
    <t>仕様説明</t>
    <rPh sb="0" eb="4">
      <t>シヨウセツメイ</t>
    </rPh>
    <phoneticPr fontId="4"/>
  </si>
  <si>
    <t>フロントUT仕様書作成</t>
    <rPh sb="6" eb="9">
      <t>シヨウショ</t>
    </rPh>
    <rPh sb="9" eb="11">
      <t>サクセイ</t>
    </rPh>
    <phoneticPr fontId="4"/>
  </si>
  <si>
    <t>フロントUT実施</t>
    <rPh sb="6" eb="8">
      <t>ジッシ</t>
    </rPh>
    <phoneticPr fontId="4"/>
  </si>
  <si>
    <t>フロント修正</t>
    <rPh sb="4" eb="6">
      <t>シュウセイ</t>
    </rPh>
    <phoneticPr fontId="4"/>
  </si>
  <si>
    <t>D0501</t>
    <phoneticPr fontId="4"/>
  </si>
  <si>
    <t>出荷計画一括登録（汎用）</t>
    <rPh sb="0" eb="2">
      <t>シュッカ</t>
    </rPh>
    <rPh sb="2" eb="4">
      <t>ケイカク</t>
    </rPh>
    <rPh sb="4" eb="6">
      <t>イッカツ</t>
    </rPh>
    <rPh sb="6" eb="8">
      <t>トウロク</t>
    </rPh>
    <rPh sb="9" eb="11">
      <t>ハンヨウ</t>
    </rPh>
    <phoneticPr fontId="4"/>
  </si>
  <si>
    <t>出荷実績進捗確認画面</t>
    <rPh sb="0" eb="2">
      <t>シュッカ</t>
    </rPh>
    <rPh sb="2" eb="4">
      <t>ジッセキ</t>
    </rPh>
    <rPh sb="4" eb="6">
      <t>シンチョク</t>
    </rPh>
    <rPh sb="6" eb="8">
      <t>カクニン</t>
    </rPh>
    <rPh sb="8" eb="10">
      <t>ガメン</t>
    </rPh>
    <phoneticPr fontId="62"/>
  </si>
  <si>
    <t>需要予測チューニング画面</t>
    <rPh sb="0" eb="2">
      <t>ジュヨウ</t>
    </rPh>
    <rPh sb="2" eb="4">
      <t>ヨソク</t>
    </rPh>
    <rPh sb="10" eb="12">
      <t>ガメン</t>
    </rPh>
    <phoneticPr fontId="62"/>
  </si>
  <si>
    <t>特売情報登録画面</t>
    <rPh sb="0" eb="2">
      <t>トクバイ</t>
    </rPh>
    <rPh sb="2" eb="4">
      <t>ジョウホウ</t>
    </rPh>
    <rPh sb="4" eb="6">
      <t>トウロク</t>
    </rPh>
    <rPh sb="6" eb="8">
      <t>ガメン</t>
    </rPh>
    <phoneticPr fontId="62"/>
  </si>
  <si>
    <t>届け先按分比率設定画面</t>
    <rPh sb="0" eb="1">
      <t>トド</t>
    </rPh>
    <rPh sb="2" eb="3">
      <t>サキ</t>
    </rPh>
    <rPh sb="3" eb="5">
      <t>アンブン</t>
    </rPh>
    <rPh sb="5" eb="7">
      <t>ヒリツ</t>
    </rPh>
    <rPh sb="7" eb="9">
      <t>セッテイ</t>
    </rPh>
    <rPh sb="9" eb="11">
      <t>ガメン</t>
    </rPh>
    <phoneticPr fontId="62"/>
  </si>
  <si>
    <t>カット情報入力画面</t>
    <rPh sb="3" eb="5">
      <t>ジョウホウ</t>
    </rPh>
    <rPh sb="5" eb="7">
      <t>ニュウリョク</t>
    </rPh>
    <rPh sb="7" eb="9">
      <t>ガメン</t>
    </rPh>
    <phoneticPr fontId="62"/>
  </si>
  <si>
    <t>品目マスタ登録画面</t>
    <rPh sb="0" eb="2">
      <t>ヒンモク</t>
    </rPh>
    <rPh sb="5" eb="7">
      <t>トウロク</t>
    </rPh>
    <rPh sb="7" eb="9">
      <t>ガメン</t>
    </rPh>
    <phoneticPr fontId="62"/>
  </si>
  <si>
    <t>出荷構成比マスタ登録画面</t>
    <rPh sb="0" eb="2">
      <t>シュッカ</t>
    </rPh>
    <rPh sb="2" eb="5">
      <t>コウセイヒ</t>
    </rPh>
    <rPh sb="8" eb="10">
      <t>トウロク</t>
    </rPh>
    <rPh sb="10" eb="12">
      <t>ガメン</t>
    </rPh>
    <phoneticPr fontId="62"/>
  </si>
  <si>
    <t>汎用データダウンロード</t>
    <rPh sb="0" eb="2">
      <t>ハンヨウ</t>
    </rPh>
    <phoneticPr fontId="62"/>
  </si>
  <si>
    <t>特売用メニュー</t>
    <rPh sb="0" eb="2">
      <t>トクバイ</t>
    </rPh>
    <rPh sb="2" eb="3">
      <t>ヨウ</t>
    </rPh>
    <phoneticPr fontId="62"/>
  </si>
  <si>
    <t>拠点別収支表</t>
    <phoneticPr fontId="62"/>
  </si>
  <si>
    <t>出荷期限超え見込みレポート</t>
    <rPh sb="0" eb="2">
      <t>シュッカ</t>
    </rPh>
    <rPh sb="2" eb="4">
      <t>キゲン</t>
    </rPh>
    <rPh sb="4" eb="5">
      <t>コ</t>
    </rPh>
    <rPh sb="6" eb="8">
      <t>ミコ</t>
    </rPh>
    <phoneticPr fontId="63"/>
  </si>
  <si>
    <t>全社収支表</t>
    <phoneticPr fontId="62"/>
  </si>
  <si>
    <t>D0502</t>
    <phoneticPr fontId="4"/>
  </si>
  <si>
    <t>D0503</t>
    <phoneticPr fontId="4"/>
  </si>
  <si>
    <t>D0601</t>
    <phoneticPr fontId="4"/>
  </si>
  <si>
    <t>D0701</t>
    <phoneticPr fontId="4"/>
  </si>
  <si>
    <t>D0702</t>
    <phoneticPr fontId="4"/>
  </si>
  <si>
    <t>D0703</t>
    <phoneticPr fontId="4"/>
  </si>
  <si>
    <t>D0307</t>
    <phoneticPr fontId="4"/>
  </si>
  <si>
    <t>D0308</t>
    <phoneticPr fontId="4"/>
  </si>
  <si>
    <t>D0403</t>
    <phoneticPr fontId="4"/>
  </si>
  <si>
    <t>D0402</t>
    <phoneticPr fontId="4"/>
  </si>
  <si>
    <t>D0102</t>
    <phoneticPr fontId="4"/>
  </si>
  <si>
    <t>D0110</t>
    <phoneticPr fontId="4"/>
  </si>
  <si>
    <t>D0201</t>
    <phoneticPr fontId="4"/>
  </si>
  <si>
    <t>ジビース</t>
    <phoneticPr fontId="4"/>
  </si>
  <si>
    <t>ジトゥ</t>
    <phoneticPr fontId="4"/>
  </si>
  <si>
    <t>岩間</t>
    <rPh sb="0" eb="2">
      <t>イワマ</t>
    </rPh>
    <phoneticPr fontId="4"/>
  </si>
  <si>
    <t>各位</t>
    <rPh sb="0" eb="2">
      <t>カクイ</t>
    </rPh>
    <phoneticPr fontId="4"/>
  </si>
  <si>
    <t>.↑-</t>
    <phoneticPr fontId="4"/>
  </si>
  <si>
    <t>佐藤(紗)</t>
  </si>
  <si>
    <t>小関</t>
  </si>
  <si>
    <t>カン</t>
  </si>
  <si>
    <t>佐藤(拓)</t>
  </si>
  <si>
    <t>チャン</t>
  </si>
  <si>
    <t>_</t>
  </si>
  <si>
    <t>各位</t>
  </si>
  <si>
    <t>ジビース</t>
  </si>
  <si>
    <t>ジトゥ</t>
  </si>
  <si>
    <t>岩間</t>
  </si>
  <si>
    <t>今泉</t>
  </si>
  <si>
    <t>長谷川</t>
  </si>
  <si>
    <t>PV</t>
    <phoneticPr fontId="4"/>
  </si>
  <si>
    <t>EV</t>
    <phoneticPr fontId="4"/>
  </si>
  <si>
    <t>BAC</t>
    <phoneticPr fontId="4"/>
  </si>
  <si>
    <t>詳細設計（引継）</t>
    <rPh sb="0" eb="2">
      <t>ショウサイ</t>
    </rPh>
    <rPh sb="2" eb="4">
      <t>セッケイ</t>
    </rPh>
    <rPh sb="5" eb="7">
      <t>ヒキツ</t>
    </rPh>
    <phoneticPr fontId="4"/>
  </si>
  <si>
    <t>詳細設計（引継＆読込）</t>
    <rPh sb="0" eb="2">
      <t>ショウサイ</t>
    </rPh>
    <rPh sb="2" eb="4">
      <t>セッケイ</t>
    </rPh>
    <rPh sb="5" eb="7">
      <t>ヒキツ</t>
    </rPh>
    <rPh sb="8" eb="10">
      <t>ヨミコミ</t>
    </rPh>
    <phoneticPr fontId="4"/>
  </si>
  <si>
    <t>開発</t>
    <rPh sb="0" eb="2">
      <t>カイハツ</t>
    </rPh>
    <phoneticPr fontId="4"/>
  </si>
  <si>
    <t>未着手</t>
    <rPh sb="0" eb="3">
      <t>ミチャクシュ</t>
    </rPh>
    <phoneticPr fontId="4"/>
  </si>
  <si>
    <t>引継ぎ開始</t>
    <rPh sb="0" eb="2">
      <t>ヒキツ</t>
    </rPh>
    <rPh sb="3" eb="5">
      <t>カイシ</t>
    </rPh>
    <phoneticPr fontId="4"/>
  </si>
  <si>
    <t>読込or引継ぎ開始</t>
    <rPh sb="0" eb="2">
      <t>ヨミコミ</t>
    </rPh>
    <rPh sb="4" eb="6">
      <t>ヒキツ</t>
    </rPh>
    <rPh sb="7" eb="9">
      <t>カイシ</t>
    </rPh>
    <phoneticPr fontId="4"/>
  </si>
  <si>
    <t>着手開始</t>
    <rPh sb="0" eb="2">
      <t>チャクシュ</t>
    </rPh>
    <rPh sb="2" eb="4">
      <t>カイシ</t>
    </rPh>
    <phoneticPr fontId="4"/>
  </si>
  <si>
    <t>コーディング終了/イベント処理概要の数</t>
    <rPh sb="6" eb="8">
      <t>シュウリョウ</t>
    </rPh>
    <rPh sb="13" eb="15">
      <t>ショリ</t>
    </rPh>
    <rPh sb="15" eb="17">
      <t>ガイヨウ</t>
    </rPh>
    <rPh sb="18" eb="19">
      <t>カズ</t>
    </rPh>
    <phoneticPr fontId="4"/>
  </si>
  <si>
    <t>内容記述完了</t>
    <rPh sb="0" eb="2">
      <t>ナイヨウ</t>
    </rPh>
    <rPh sb="2" eb="4">
      <t>キジュツ</t>
    </rPh>
    <rPh sb="4" eb="6">
      <t>カンリョウ</t>
    </rPh>
    <phoneticPr fontId="4"/>
  </si>
  <si>
    <t>OKテストケース/全テストケース</t>
    <rPh sb="9" eb="10">
      <t>ゼン</t>
    </rPh>
    <phoneticPr fontId="4"/>
  </si>
  <si>
    <t>引継ぎ残あり</t>
    <rPh sb="0" eb="2">
      <t>ヒキツ</t>
    </rPh>
    <rPh sb="3" eb="4">
      <t>ザン</t>
    </rPh>
    <phoneticPr fontId="4"/>
  </si>
  <si>
    <t>データ作成開始</t>
    <rPh sb="3" eb="5">
      <t>サクセイ</t>
    </rPh>
    <rPh sb="5" eb="7">
      <t>カイシ</t>
    </rPh>
    <phoneticPr fontId="4"/>
  </si>
  <si>
    <t>データ準備</t>
    <rPh sb="3" eb="5">
      <t>ジュンビ</t>
    </rPh>
    <phoneticPr fontId="4"/>
  </si>
  <si>
    <t>引継ぎ終了</t>
    <rPh sb="0" eb="2">
      <t>ヒキツ</t>
    </rPh>
    <rPh sb="3" eb="5">
      <t>シュウリョウ</t>
    </rPh>
    <phoneticPr fontId="4"/>
  </si>
  <si>
    <t>エビデンス取得</t>
    <rPh sb="5" eb="7">
      <t>シュトク</t>
    </rPh>
    <phoneticPr fontId="4"/>
  </si>
  <si>
    <t>読込終了</t>
    <rPh sb="0" eb="2">
      <t>ヨミコミ</t>
    </rPh>
    <rPh sb="2" eb="4">
      <t>シュウリョウ</t>
    </rPh>
    <phoneticPr fontId="4"/>
  </si>
  <si>
    <t>質問中</t>
    <rPh sb="0" eb="3">
      <t>シツモンチュウ</t>
    </rPh>
    <phoneticPr fontId="4"/>
  </si>
  <si>
    <t>引継&amp;読込終了</t>
    <rPh sb="0" eb="2">
      <t>ヒキツ</t>
    </rPh>
    <rPh sb="3" eb="5">
      <t>ヨミコミ</t>
    </rPh>
    <rPh sb="5" eb="7">
      <t>シュウリョウ</t>
    </rPh>
    <phoneticPr fontId="4"/>
  </si>
  <si>
    <t>動作確認完了</t>
    <phoneticPr fontId="4"/>
  </si>
  <si>
    <t>テスト開始可能状態</t>
    <rPh sb="3" eb="5">
      <t>カイシ</t>
    </rPh>
    <rPh sb="5" eb="7">
      <t>カノウ</t>
    </rPh>
    <rPh sb="7" eb="9">
      <t>ジョウタイ</t>
    </rPh>
    <phoneticPr fontId="4"/>
  </si>
  <si>
    <t>単体テスト完了</t>
    <rPh sb="0" eb="2">
      <t>タンタイ</t>
    </rPh>
    <rPh sb="5" eb="7">
      <t>カンリョウ</t>
    </rPh>
    <phoneticPr fontId="4"/>
  </si>
  <si>
    <t>画面/バッチ</t>
  </si>
  <si>
    <t>画面/バッチ</t>
    <rPh sb="0" eb="2">
      <t>ガメン</t>
    </rPh>
    <phoneticPr fontId="4"/>
  </si>
  <si>
    <t>テスト仕様書</t>
    <rPh sb="3" eb="6">
      <t>シヨウショ</t>
    </rPh>
    <phoneticPr fontId="4"/>
  </si>
  <si>
    <t>テスト</t>
    <phoneticPr fontId="4"/>
  </si>
  <si>
    <t>仕様説明・理解</t>
    <rPh sb="0" eb="4">
      <t>シヨウセツメイ</t>
    </rPh>
    <rPh sb="5" eb="7">
      <t>リカイ</t>
    </rPh>
    <phoneticPr fontId="4"/>
  </si>
  <si>
    <t>初期表示</t>
  </si>
  <si>
    <t>[CSV出力]ボタンクリック</t>
  </si>
  <si>
    <t>[検索]ボタンクリック</t>
  </si>
  <si>
    <t>[名称確認]ボタンクリック</t>
  </si>
  <si>
    <t>[登録]ボタンクリック</t>
  </si>
  <si>
    <t>[品名追加]ボタンクリック</t>
  </si>
  <si>
    <t>[削除]ボタンクリック</t>
  </si>
  <si>
    <t>[編集]ボタンクリック</t>
  </si>
  <si>
    <t>支店フィルタボタンクリック</t>
  </si>
  <si>
    <t>担当者フィルタボタンクリック</t>
  </si>
  <si>
    <t>得意先フィルタボタンクリック</t>
  </si>
  <si>
    <t>画面レイアウト【検索】</t>
    <rPh sb="0" eb="2">
      <t>ガメン</t>
    </rPh>
    <rPh sb="8" eb="10">
      <t>ケンサク</t>
    </rPh>
    <phoneticPr fontId="4"/>
  </si>
  <si>
    <t>画面レイアウト【一覧】</t>
    <rPh sb="0" eb="2">
      <t>ガメン</t>
    </rPh>
    <rPh sb="8" eb="10">
      <t>イチラン</t>
    </rPh>
    <phoneticPr fontId="4"/>
  </si>
  <si>
    <t>イベント系</t>
    <rPh sb="4" eb="5">
      <t>ケイ</t>
    </rPh>
    <phoneticPr fontId="4"/>
  </si>
  <si>
    <t>画面レイアウト【品名追加】</t>
    <rPh sb="0" eb="2">
      <t>ガメン</t>
    </rPh>
    <rPh sb="8" eb="10">
      <t>ヒンメイ</t>
    </rPh>
    <rPh sb="10" eb="12">
      <t>ツイカ</t>
    </rPh>
    <phoneticPr fontId="4"/>
  </si>
  <si>
    <t>[選択]ボタンクリック</t>
    <rPh sb="1" eb="3">
      <t>センタク</t>
    </rPh>
    <phoneticPr fontId="4"/>
  </si>
  <si>
    <t>検索画面1:初期表示</t>
  </si>
  <si>
    <t>検索画面1:[検索条件呼出]ボタンクリック</t>
  </si>
  <si>
    <t>検索画面1:[保存した条件から設定]プルダウンから検索名を選択</t>
  </si>
  <si>
    <t>検索画面1:[検索条件を削除]ボタンクリック</t>
  </si>
  <si>
    <t>検索画面1:[検索条件を保存]ボタンクリック</t>
  </si>
  <si>
    <t>検索条件を保存サブ画面:[登録]ボタンクリック</t>
  </si>
  <si>
    <t>検索条件を保存サブ画面:[キャンセル]ボタンクリック</t>
  </si>
  <si>
    <t>検索画面1:[検索]ボタンクリック</t>
  </si>
  <si>
    <t>検索画面2:[表示]ボタンクリック</t>
  </si>
  <si>
    <t>[Excel出力]ボタンクリック</t>
  </si>
  <si>
    <t>右クリック:コメントの挿入</t>
  </si>
  <si>
    <t>右クリック:コメントの編集</t>
  </si>
  <si>
    <t>右クリック:コメントの削除</t>
  </si>
  <si>
    <t>右クリック:コメントの表示/非表示</t>
  </si>
  <si>
    <t>右クリック:特売情報登録（新規ウィンドウ）</t>
  </si>
  <si>
    <t>[予測実行]ボタンクリック</t>
    <phoneticPr fontId="4"/>
  </si>
  <si>
    <t>画面レイアウト【予測モデル】</t>
    <rPh sb="0" eb="2">
      <t>ガメン</t>
    </rPh>
    <rPh sb="8" eb="10">
      <t>ヨソク</t>
    </rPh>
    <phoneticPr fontId="4"/>
  </si>
  <si>
    <t>[選択]ボタンクリック</t>
    <phoneticPr fontId="4"/>
  </si>
  <si>
    <t>[キャンセル]ボタンクリック</t>
    <phoneticPr fontId="4"/>
  </si>
  <si>
    <t>画面レイアウト【登録画面】</t>
    <rPh sb="0" eb="2">
      <t>ガメン</t>
    </rPh>
    <rPh sb="8" eb="10">
      <t>トウロク</t>
    </rPh>
    <rPh sb="10" eb="12">
      <t>ガメン</t>
    </rPh>
    <phoneticPr fontId="4"/>
  </si>
  <si>
    <t>[支店計画]ボタンクリック</t>
  </si>
  <si>
    <t>[ギフト]ボタンクリック</t>
  </si>
  <si>
    <t>[支店単品出荷計画（週）]ボタンクリック</t>
  </si>
  <si>
    <t>[支店単品出荷計画（月）]ボタンクリック</t>
  </si>
  <si>
    <t>[特定支店計画]ボタンクリック</t>
  </si>
  <si>
    <t>[月次引当]ボタンクリック</t>
  </si>
  <si>
    <t>[年度予算]ボタンクリック</t>
  </si>
  <si>
    <t>[検索](届け先検索)ボタンクリック</t>
    <rPh sb="5" eb="6">
      <t>トド</t>
    </rPh>
    <rPh sb="7" eb="8">
      <t>サキ</t>
    </rPh>
    <rPh sb="8" eb="10">
      <t>ケンサク</t>
    </rPh>
    <phoneticPr fontId="4"/>
  </si>
  <si>
    <t>[登録]ボタンクリック</t>
    <phoneticPr fontId="4"/>
  </si>
  <si>
    <t>[構成比登録]ボタンクリック</t>
    <phoneticPr fontId="4"/>
  </si>
  <si>
    <t>[検索]ボタンクリック</t>
    <phoneticPr fontId="4"/>
  </si>
  <si>
    <t>[コピー登録]ボタンクリック</t>
    <phoneticPr fontId="4"/>
  </si>
  <si>
    <t>[登録]ボタンクリック</t>
    <phoneticPr fontId="4"/>
  </si>
  <si>
    <t>[支店計画再按分]ボタンクリック</t>
    <phoneticPr fontId="4"/>
  </si>
  <si>
    <t>[ダウンロード]ボタンクリック</t>
    <phoneticPr fontId="4"/>
  </si>
  <si>
    <t>画面レイアウト【メニュー】</t>
    <rPh sb="0" eb="2">
      <t>ガメン</t>
    </rPh>
    <phoneticPr fontId="4"/>
  </si>
  <si>
    <t>[表示]ボタンクリック</t>
    <rPh sb="1" eb="3">
      <t>ヒョウジ</t>
    </rPh>
    <phoneticPr fontId="4"/>
  </si>
  <si>
    <t>[コメント登録]ボタンクリック</t>
    <phoneticPr fontId="4"/>
  </si>
  <si>
    <t>[登録]ボタンクリック</t>
    <rPh sb="1" eb="3">
      <t>トウロク</t>
    </rPh>
    <phoneticPr fontId="4"/>
  </si>
  <si>
    <t>鈴木</t>
    <rPh sb="0" eb="2">
      <t>スズキ</t>
    </rPh>
    <phoneticPr fontId="4"/>
  </si>
  <si>
    <r>
      <t>,</t>
    </r>
    <r>
      <rPr>
        <b/>
        <sz val="10"/>
        <color indexed="10"/>
        <rFont val="ＭＳ Ｐゴシック"/>
        <family val="3"/>
        <charset val="128"/>
      </rPr>
      <t>[ 5.94人月 ]</t>
    </r>
  </si>
  <si>
    <t>日数</t>
    <phoneticPr fontId="5"/>
  </si>
  <si>
    <t>日数</t>
    <phoneticPr fontId="4"/>
  </si>
  <si>
    <t>-</t>
    <phoneticPr fontId="4"/>
  </si>
  <si>
    <t>完了</t>
    <phoneticPr fontId="4"/>
  </si>
  <si>
    <t>完了</t>
    <phoneticPr fontId="4"/>
  </si>
  <si>
    <t>-</t>
    <phoneticPr fontId="4"/>
  </si>
  <si>
    <t>-</t>
    <phoneticPr fontId="4"/>
  </si>
  <si>
    <t>-</t>
    <phoneticPr fontId="4"/>
  </si>
  <si>
    <t>-</t>
    <phoneticPr fontId="4"/>
  </si>
  <si>
    <t>完了</t>
    <phoneticPr fontId="4"/>
  </si>
  <si>
    <t>完了</t>
    <phoneticPr fontId="4"/>
  </si>
  <si>
    <t>完了</t>
    <phoneticPr fontId="4"/>
  </si>
  <si>
    <t>完了</t>
    <phoneticPr fontId="4"/>
  </si>
  <si>
    <t>完了</t>
    <phoneticPr fontId="4"/>
  </si>
  <si>
    <t>完了</t>
    <phoneticPr fontId="4"/>
  </si>
</sst>
</file>

<file path=xl/styles.xml><?xml version="1.0" encoding="utf-8"?>
<styleSheet xmlns="http://schemas.openxmlformats.org/spreadsheetml/2006/main" xmlns:mc="http://schemas.openxmlformats.org/markup-compatibility/2006" xmlns:x14ac="http://schemas.microsoft.com/office/spreadsheetml/2009/9/ac" mc:Ignorable="x14ac">
  <numFmts count="39">
    <numFmt numFmtId="6" formatCode="&quot;$&quot;#,##0_);[Red]\(&quot;$&quot;#,##0\)"/>
    <numFmt numFmtId="8" formatCode="&quot;$&quot;#,##0.00_);[Red]\(&quot;$&quot;#,##0.00\)"/>
    <numFmt numFmtId="42" formatCode="_(&quot;$&quot;* #,##0_);_(&quot;$&quot;* \(#,##0\);_(&quot;$&quot;* &quot;-&quot;_);_(@_)"/>
    <numFmt numFmtId="164" formatCode="&quot;¥&quot;#,##0;[Red]&quot;¥&quot;\-#,##0"/>
    <numFmt numFmtId="165" formatCode="&quot;¥&quot;#,##0.00;[Red]&quot;¥&quot;\-#,##0.00"/>
    <numFmt numFmtId="166" formatCode="_ * #,##0_ ;_ * \-#,##0_ ;_ * &quot;-&quot;_ ;_ @_ "/>
    <numFmt numFmtId="168" formatCode="yyyy/mm/dd\ h:mm&quot;更新&quot;"/>
    <numFmt numFmtId="169" formatCode="0.0_);[Red]\(0.0\)"/>
    <numFmt numFmtId="170" formatCode="mm/dd"/>
    <numFmt numFmtId="171" formatCode="0&quot;日&quot;"/>
    <numFmt numFmtId="172" formatCode="[$-411]ggge&quot;年&quot;m&quot;月&quot;"/>
    <numFmt numFmtId="173" formatCode="m&quot;月&quot;"/>
    <numFmt numFmtId="174" formatCode="m/d"/>
    <numFmt numFmtId="175" formatCode="m/dd"/>
    <numFmt numFmtId="176" formatCode="d"/>
    <numFmt numFmtId="177" formatCode="yyyy/mm/dd"/>
    <numFmt numFmtId="178" formatCode="0&quot;人日&quot;"/>
    <numFmt numFmtId="179" formatCode="0\ %"/>
    <numFmt numFmtId="180" formatCode="0\ &quot;日&quot;"/>
    <numFmt numFmtId="181" formatCode="0\ &quot;h&quot;"/>
    <numFmt numFmtId="182" formatCode="m/dd\ hh&quot;:00&quot;"/>
    <numFmt numFmtId="183" formatCode="0_);[Red]\(0\)"/>
    <numFmt numFmtId="184" formatCode="yyyy/m/d&quot;曜日&quot;"/>
    <numFmt numFmtId="185" formatCode="0.00_);[Red]\(0.00\)"/>
    <numFmt numFmtId="186" formatCode="yyyy&quot;年&quot;"/>
    <numFmt numFmtId="187" formatCode="yyyy/m/d;@"/>
    <numFmt numFmtId="188" formatCode="yyyy/m/d&quot;Week&quot;"/>
    <numFmt numFmtId="189" formatCode="m/dd\ hh:mm"/>
    <numFmt numFmtId="190" formatCode="0.00\ &quot;h&quot;"/>
    <numFmt numFmtId="191" formatCode="yyyy&quot;年&quot;m&quot;月&quot;;@"/>
    <numFmt numFmtId="192" formatCode="#,##0;\-#,##0;&quot;-&quot;"/>
    <numFmt numFmtId="194" formatCode="_(* #,##0.00000_);_(* \(#,##0.00000\);_(* &quot;-&quot;??_);_(@_)"/>
    <numFmt numFmtId="195" formatCode="_(* #,##0.000000_);_(* \(#,##0.000000\);_(* &quot;-&quot;??_);_(@_)"/>
    <numFmt numFmtId="196" formatCode="0.00000%"/>
    <numFmt numFmtId="197" formatCode="&quot;$&quot;#,##0_);\(&quot;$&quot;#,##0.0\)"/>
    <numFmt numFmtId="198" formatCode="0%\);[Red]\(0%\)"/>
    <numFmt numFmtId="199" formatCode="#,##0.0;[Red]\-#,##0.0"/>
    <numFmt numFmtId="200" formatCode="#,##0%;[Red]\-#,##0%"/>
    <numFmt numFmtId="201" formatCode="0.0"/>
  </numFmts>
  <fonts count="116">
    <font>
      <sz val="10"/>
      <color indexed="14"/>
      <name val="ＭＳ Ｐゴシック"/>
      <family val="3"/>
      <charset val="128"/>
    </font>
    <font>
      <sz val="10"/>
      <name val="ＭＳ Ｐゴシック"/>
      <family val="3"/>
      <charset val="128"/>
    </font>
    <font>
      <sz val="10"/>
      <name val="ＭＳ Ｐゴシック"/>
      <family val="3"/>
      <charset val="128"/>
    </font>
    <font>
      <sz val="12"/>
      <name val="ＭＳ Ｐゴシック"/>
      <family val="3"/>
      <charset val="128"/>
    </font>
    <font>
      <sz val="6"/>
      <name val="ＭＳ Ｐゴシック"/>
      <family val="3"/>
      <charset val="128"/>
    </font>
    <font>
      <sz val="6"/>
      <name val="ＭＳ Ｐ明朝"/>
      <family val="1"/>
      <charset val="128"/>
    </font>
    <font>
      <b/>
      <sz val="14"/>
      <name val="ＭＳ Ｐゴシック"/>
      <family val="3"/>
      <charset val="128"/>
    </font>
    <font>
      <i/>
      <u val="singleAccounting"/>
      <sz val="9"/>
      <name val="ＭＳ Ｐゴシック"/>
      <family val="3"/>
      <charset val="128"/>
    </font>
    <font>
      <b/>
      <sz val="10"/>
      <name val="ＭＳ Ｐゴシック"/>
      <family val="3"/>
      <charset val="128"/>
    </font>
    <font>
      <sz val="11"/>
      <name val="ＭＳ Ｐゴシック"/>
      <family val="3"/>
      <charset val="128"/>
    </font>
    <font>
      <sz val="8"/>
      <name val="ＭＳ Ｐゴシック"/>
      <family val="3"/>
      <charset val="128"/>
    </font>
    <font>
      <b/>
      <sz val="10"/>
      <name val="ＭＳ Ｐ明朝"/>
      <family val="1"/>
      <charset val="128"/>
    </font>
    <font>
      <b/>
      <sz val="10"/>
      <color indexed="10"/>
      <name val="ＭＳ Ｐゴシック"/>
      <family val="3"/>
      <charset val="128"/>
    </font>
    <font>
      <sz val="10"/>
      <color indexed="12"/>
      <name val="ＭＳ Ｐゴシック"/>
      <family val="3"/>
      <charset val="128"/>
    </font>
    <font>
      <b/>
      <sz val="12"/>
      <name val="ＭＳ Ｐゴシック"/>
      <family val="3"/>
      <charset val="128"/>
    </font>
    <font>
      <b/>
      <sz val="12"/>
      <color indexed="59"/>
      <name val="ＭＳ Ｐゴシック"/>
      <family val="3"/>
      <charset val="128"/>
    </font>
    <font>
      <sz val="10"/>
      <color indexed="59"/>
      <name val="ＭＳ Ｐゴシック"/>
      <family val="3"/>
      <charset val="128"/>
    </font>
    <font>
      <sz val="10"/>
      <color indexed="10"/>
      <name val="ＭＳ Ｐ明朝"/>
      <family val="1"/>
      <charset val="128"/>
    </font>
    <font>
      <sz val="10"/>
      <name val="ＭＳ Ｐ明朝"/>
      <family val="1"/>
      <charset val="128"/>
    </font>
    <font>
      <sz val="10"/>
      <color indexed="12"/>
      <name val="ＭＳ Ｐ明朝"/>
      <family val="1"/>
      <charset val="128"/>
    </font>
    <font>
      <sz val="10"/>
      <name val="ＭＳ Ｐゴシック"/>
      <family val="3"/>
      <charset val="128"/>
    </font>
    <font>
      <b/>
      <sz val="10"/>
      <color indexed="12"/>
      <name val="ＭＳ Ｐゴシック"/>
      <family val="3"/>
      <charset val="128"/>
    </font>
    <font>
      <sz val="10"/>
      <color indexed="23"/>
      <name val="ＭＳ Ｐゴシック"/>
      <family val="3"/>
      <charset val="128"/>
    </font>
    <font>
      <sz val="10"/>
      <color indexed="16"/>
      <name val="ＭＳ Ｐゴシック"/>
      <family val="3"/>
      <charset val="128"/>
    </font>
    <font>
      <sz val="10"/>
      <color indexed="44"/>
      <name val="ＭＳ Ｐゴシック"/>
      <family val="3"/>
      <charset val="128"/>
    </font>
    <font>
      <sz val="10"/>
      <color indexed="22"/>
      <name val="ＭＳ Ｐゴシック"/>
      <family val="3"/>
      <charset val="128"/>
    </font>
    <font>
      <sz val="10"/>
      <color indexed="18"/>
      <name val="ＭＳ Ｐゴシック"/>
      <family val="3"/>
      <charset val="128"/>
    </font>
    <font>
      <i/>
      <sz val="10"/>
      <color indexed="58"/>
      <name val="ＭＳ Ｐゴシック"/>
      <family val="3"/>
      <charset val="128"/>
    </font>
    <font>
      <sz val="10"/>
      <color indexed="52"/>
      <name val="ＭＳ Ｐゴシック"/>
      <family val="3"/>
      <charset val="128"/>
    </font>
    <font>
      <sz val="11"/>
      <name val="ＭＳ ゴシック"/>
      <family val="3"/>
      <charset val="128"/>
    </font>
    <font>
      <sz val="10"/>
      <color indexed="47"/>
      <name val="ＭＳ Ｐゴシック"/>
      <family val="3"/>
      <charset val="128"/>
    </font>
    <font>
      <sz val="10"/>
      <color indexed="58"/>
      <name val="ＭＳ Ｐゴシック"/>
      <family val="3"/>
      <charset val="128"/>
    </font>
    <font>
      <i/>
      <sz val="10"/>
      <name val="ＭＳ Ｐゴシック"/>
      <family val="3"/>
      <charset val="128"/>
    </font>
    <font>
      <b/>
      <sz val="10"/>
      <color indexed="11"/>
      <name val="ＭＳ Ｐゴシック"/>
      <family val="3"/>
      <charset val="128"/>
    </font>
    <font>
      <sz val="10"/>
      <color indexed="15"/>
      <name val="ＭＳ Ｐゴシック"/>
      <family val="3"/>
      <charset val="128"/>
    </font>
    <font>
      <sz val="10"/>
      <color indexed="9"/>
      <name val="ＭＳ Ｐゴシック"/>
      <family val="3"/>
      <charset val="128"/>
    </font>
    <font>
      <sz val="10"/>
      <color indexed="41"/>
      <name val="ＭＳ Ｐゴシック"/>
      <family val="3"/>
      <charset val="128"/>
    </font>
    <font>
      <i/>
      <sz val="10"/>
      <color indexed="41"/>
      <name val="ＭＳ Ｐゴシック"/>
      <family val="3"/>
      <charset val="128"/>
    </font>
    <font>
      <b/>
      <sz val="10"/>
      <color indexed="45"/>
      <name val="ＭＳ Ｐゴシック"/>
      <family val="3"/>
      <charset val="128"/>
    </font>
    <font>
      <b/>
      <sz val="10"/>
      <color indexed="41"/>
      <name val="ＭＳ Ｐゴシック"/>
      <family val="3"/>
      <charset val="128"/>
    </font>
    <font>
      <sz val="10"/>
      <color indexed="45"/>
      <name val="ＭＳ Ｐゴシック"/>
      <family val="3"/>
      <charset val="128"/>
    </font>
    <font>
      <sz val="10"/>
      <color indexed="10"/>
      <name val="ＭＳ Ｐゴシック"/>
      <family val="3"/>
      <charset val="128"/>
    </font>
    <font>
      <b/>
      <sz val="10"/>
      <color indexed="51"/>
      <name val="ＭＳ Ｐ明朝"/>
      <family val="1"/>
      <charset val="128"/>
    </font>
    <font>
      <sz val="10"/>
      <color indexed="51"/>
      <name val="ＭＳ Ｐ明朝"/>
      <family val="1"/>
      <charset val="128"/>
    </font>
    <font>
      <sz val="10"/>
      <color indexed="43"/>
      <name val="ＭＳ Ｐゴシック"/>
      <family val="3"/>
      <charset val="128"/>
    </font>
    <font>
      <sz val="10"/>
      <color indexed="43"/>
      <name val="ＭＳ Ｐ明朝"/>
      <family val="1"/>
      <charset val="128"/>
    </font>
    <font>
      <sz val="10"/>
      <color indexed="15"/>
      <name val="ＭＳ Ｐ明朝"/>
      <family val="1"/>
      <charset val="128"/>
    </font>
    <font>
      <sz val="10"/>
      <color indexed="14"/>
      <name val="ＭＳ Ｐ明朝"/>
      <family val="1"/>
      <charset val="128"/>
    </font>
    <font>
      <i/>
      <u/>
      <sz val="8"/>
      <color indexed="55"/>
      <name val="ＭＳ Ｐゴシック"/>
      <family val="3"/>
      <charset val="128"/>
    </font>
    <font>
      <i/>
      <u val="singleAccounting"/>
      <sz val="9"/>
      <color indexed="63"/>
      <name val="ＭＳ Ｐゴシック"/>
      <family val="3"/>
      <charset val="128"/>
    </font>
    <font>
      <b/>
      <sz val="10"/>
      <color indexed="51"/>
      <name val="ＭＳ Ｐゴシック"/>
      <family val="3"/>
      <charset val="128"/>
    </font>
    <font>
      <i/>
      <sz val="9"/>
      <color indexed="63"/>
      <name val="ＭＳ Ｐゴシック"/>
      <family val="3"/>
      <charset val="128"/>
    </font>
    <font>
      <sz val="10"/>
      <color indexed="54"/>
      <name val="ＭＳ Ｐゴシック"/>
      <family val="3"/>
      <charset val="128"/>
    </font>
    <font>
      <b/>
      <sz val="10"/>
      <color indexed="13"/>
      <name val="ＭＳ Ｐ明朝"/>
      <family val="1"/>
      <charset val="128"/>
    </font>
    <font>
      <sz val="10"/>
      <color indexed="8"/>
      <name val="ＭＳ Ｐゴシック"/>
      <family val="3"/>
      <charset val="128"/>
    </font>
    <font>
      <b/>
      <sz val="11"/>
      <color indexed="59"/>
      <name val="ＭＳ Ｐゴシック"/>
      <family val="3"/>
      <charset val="128"/>
    </font>
    <font>
      <b/>
      <sz val="12"/>
      <color indexed="58"/>
      <name val="ＭＳ Ｐゴシック"/>
      <family val="3"/>
      <charset val="128"/>
    </font>
    <font>
      <sz val="12"/>
      <color indexed="58"/>
      <name val="ＭＳ Ｐゴシック"/>
      <family val="3"/>
      <charset val="128"/>
    </font>
    <font>
      <u/>
      <sz val="10"/>
      <color indexed="59"/>
      <name val="ＭＳ Ｐゴシック"/>
      <family val="3"/>
      <charset val="128"/>
    </font>
    <font>
      <b/>
      <sz val="10"/>
      <color indexed="15"/>
      <name val="ＭＳ Ｐゴシック"/>
      <family val="3"/>
      <charset val="128"/>
    </font>
    <font>
      <b/>
      <sz val="10"/>
      <color indexed="59"/>
      <name val="ＭＳ Ｐゴシック"/>
      <family val="3"/>
      <charset val="128"/>
    </font>
    <font>
      <b/>
      <sz val="10"/>
      <color indexed="20"/>
      <name val="ＭＳ Ｐゴシック"/>
      <family val="3"/>
      <charset val="128"/>
    </font>
    <font>
      <sz val="6"/>
      <name val="ＭＳ Ｐゴシック"/>
      <family val="3"/>
      <charset val="128"/>
    </font>
    <font>
      <b/>
      <sz val="10"/>
      <color indexed="9"/>
      <name val="Meiryo UI"/>
      <family val="3"/>
      <charset val="128"/>
    </font>
    <font>
      <b/>
      <strike/>
      <sz val="10"/>
      <name val="ＭＳ Ｐゴシック"/>
      <family val="3"/>
      <charset val="128"/>
    </font>
    <font>
      <sz val="11"/>
      <color theme="1"/>
      <name val="Calibri"/>
      <family val="3"/>
      <charset val="128"/>
      <scheme val="minor"/>
    </font>
    <font>
      <sz val="11"/>
      <name val="明朝"/>
      <family val="3"/>
      <charset val="128"/>
    </font>
    <font>
      <sz val="11"/>
      <color indexed="8"/>
      <name val="ＭＳ Ｐゴシック"/>
      <family val="3"/>
      <charset val="128"/>
    </font>
    <font>
      <sz val="11"/>
      <color indexed="9"/>
      <name val="ＭＳ Ｐゴシック"/>
      <family val="3"/>
      <charset val="128"/>
    </font>
    <font>
      <sz val="10"/>
      <color indexed="8"/>
      <name val="Arial"/>
      <family val="2"/>
    </font>
    <font>
      <sz val="12"/>
      <name val="Arial"/>
      <family val="2"/>
    </font>
    <font>
      <sz val="10"/>
      <name val="Arial"/>
      <family val="2"/>
    </font>
    <font>
      <sz val="10"/>
      <name val="BERNHARD"/>
      <family val="2"/>
    </font>
    <font>
      <sz val="10"/>
      <name val="Helv"/>
      <family val="2"/>
    </font>
    <font>
      <sz val="1"/>
      <color indexed="8"/>
      <name val="Courier"/>
      <family val="3"/>
    </font>
    <font>
      <b/>
      <sz val="1"/>
      <color indexed="8"/>
      <name val="Courier"/>
      <family val="3"/>
    </font>
    <font>
      <sz val="9"/>
      <name val="Times New Roman"/>
      <family val="1"/>
    </font>
    <font>
      <i/>
      <sz val="1"/>
      <color indexed="8"/>
      <name val="Courier"/>
      <family val="3"/>
    </font>
    <font>
      <sz val="8"/>
      <name val="Arial"/>
      <family val="2"/>
    </font>
    <font>
      <b/>
      <sz val="12"/>
      <name val="Arial"/>
      <family val="2"/>
    </font>
    <font>
      <sz val="10"/>
      <name val="ＭＳ ゴシック"/>
      <family val="3"/>
      <charset val="128"/>
    </font>
    <font>
      <sz val="10"/>
      <name val="MS Sans Serif"/>
      <family val="2"/>
    </font>
    <font>
      <sz val="7"/>
      <name val="Small Fonts"/>
      <family val="3"/>
      <charset val="128"/>
    </font>
    <font>
      <sz val="14"/>
      <name val="?? ??"/>
      <family val="1"/>
    </font>
    <font>
      <sz val="8"/>
      <color indexed="16"/>
      <name val="Century Schoolbook"/>
      <family val="1"/>
    </font>
    <font>
      <sz val="8"/>
      <name val="Helv"/>
      <family val="2"/>
    </font>
    <font>
      <b/>
      <i/>
      <sz val="10"/>
      <name val="Times New Roman"/>
      <family val="1"/>
    </font>
    <font>
      <b/>
      <sz val="11"/>
      <name val="Helv"/>
      <family val="2"/>
    </font>
    <font>
      <b/>
      <sz val="9"/>
      <name val="Times New Roman"/>
      <family val="1"/>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sz val="10"/>
      <name val="Osaka"/>
      <family val="3"/>
      <charset val="128"/>
    </font>
    <font>
      <b/>
      <sz val="11"/>
      <color indexed="52"/>
      <name val="ＭＳ Ｐゴシック"/>
      <family val="3"/>
      <charset val="128"/>
    </font>
    <font>
      <sz val="11"/>
      <color indexed="10"/>
      <name val="ＭＳ Ｐゴシック"/>
      <family val="3"/>
      <charset val="128"/>
    </font>
    <font>
      <sz val="10"/>
      <name val="ＨＧｺﾞｼｯｸE-PRO"/>
      <family val="3"/>
      <charset val="128"/>
    </font>
    <font>
      <b/>
      <sz val="12"/>
      <color indexed="48"/>
      <name val="ＭＳ 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4"/>
      <name val="ＭＳ 明朝"/>
      <family val="1"/>
      <charset val="128"/>
    </font>
    <font>
      <sz val="11"/>
      <color theme="1"/>
      <name val="Calibri"/>
      <family val="2"/>
      <scheme val="minor"/>
    </font>
    <font>
      <sz val="14"/>
      <name val="ＭＳ Ｐゴシック"/>
      <family val="3"/>
      <charset val="128"/>
    </font>
    <font>
      <sz val="11"/>
      <name val="ＭＳ 明朝"/>
      <family val="1"/>
      <charset val="128"/>
    </font>
    <font>
      <sz val="11"/>
      <color indexed="17"/>
      <name val="ＭＳ Ｐゴシック"/>
      <family val="3"/>
      <charset val="128"/>
    </font>
    <font>
      <sz val="9"/>
      <color indexed="81"/>
      <name val="ＭＳ Ｐゴシック"/>
      <family val="3"/>
      <charset val="128"/>
    </font>
    <font>
      <sz val="9"/>
      <color indexed="81"/>
      <name val="Meiryo UI"/>
      <family val="3"/>
      <charset val="128"/>
    </font>
    <font>
      <sz val="10"/>
      <color rgb="FF0070C0"/>
      <name val="ＭＳ Ｐゴシック"/>
      <family val="3"/>
      <charset val="128"/>
    </font>
    <font>
      <b/>
      <sz val="1"/>
      <name val="ＭＳ Ｐゴシック"/>
      <family val="3"/>
      <charset val="128"/>
    </font>
    <font>
      <u/>
      <sz val="10"/>
      <color indexed="18"/>
      <name val="ＭＳ Ｐゴシック"/>
      <family val="3"/>
      <charset val="128"/>
    </font>
  </fonts>
  <fills count="59">
    <fill>
      <patternFill patternType="none"/>
    </fill>
    <fill>
      <patternFill patternType="gray125"/>
    </fill>
    <fill>
      <patternFill patternType="solid">
        <fgColor indexed="44"/>
      </patternFill>
    </fill>
    <fill>
      <patternFill patternType="solid">
        <fgColor indexed="44"/>
        <bgColor indexed="64"/>
      </patternFill>
    </fill>
    <fill>
      <patternFill patternType="solid">
        <fgColor indexed="9"/>
        <bgColor indexed="64"/>
      </patternFill>
    </fill>
    <fill>
      <patternFill patternType="solid">
        <fgColor indexed="43"/>
        <bgColor indexed="64"/>
      </patternFill>
    </fill>
    <fill>
      <patternFill patternType="solid">
        <fgColor indexed="49"/>
        <bgColor indexed="64"/>
      </patternFill>
    </fill>
    <fill>
      <patternFill patternType="solid">
        <fgColor indexed="11"/>
        <bgColor indexed="64"/>
      </patternFill>
    </fill>
    <fill>
      <patternFill patternType="solid">
        <fgColor indexed="50"/>
        <bgColor indexed="64"/>
      </patternFill>
    </fill>
    <fill>
      <patternFill patternType="solid">
        <fgColor indexed="51"/>
        <bgColor indexed="64"/>
      </patternFill>
    </fill>
    <fill>
      <patternFill patternType="solid">
        <fgColor indexed="10"/>
        <bgColor indexed="64"/>
      </patternFill>
    </fill>
    <fill>
      <patternFill patternType="solid">
        <fgColor indexed="42"/>
        <bgColor indexed="64"/>
      </patternFill>
    </fill>
    <fill>
      <patternFill patternType="solid">
        <fgColor indexed="17"/>
        <bgColor indexed="64"/>
      </patternFill>
    </fill>
    <fill>
      <patternFill patternType="solid">
        <fgColor indexed="52"/>
        <bgColor indexed="64"/>
      </patternFill>
    </fill>
    <fill>
      <patternFill patternType="solid">
        <fgColor indexed="60"/>
        <bgColor indexed="64"/>
      </patternFill>
    </fill>
    <fill>
      <patternFill patternType="solid">
        <fgColor indexed="20"/>
        <bgColor indexed="64"/>
      </patternFill>
    </fill>
    <fill>
      <patternFill patternType="solid">
        <fgColor indexed="9"/>
        <bgColor indexed="26"/>
      </patternFill>
    </fill>
    <fill>
      <patternFill patternType="mediumGray">
        <fgColor indexed="26"/>
        <bgColor indexed="26"/>
      </patternFill>
    </fill>
    <fill>
      <patternFill patternType="solid">
        <fgColor indexed="26"/>
        <bgColor indexed="26"/>
      </patternFill>
    </fill>
    <fill>
      <patternFill patternType="solid">
        <fgColor indexed="54"/>
        <bgColor indexed="64"/>
      </patternFill>
    </fill>
    <fill>
      <patternFill patternType="solid">
        <fgColor indexed="31"/>
        <bgColor indexed="64"/>
      </patternFill>
    </fill>
    <fill>
      <patternFill patternType="solid">
        <fgColor indexed="62"/>
        <bgColor indexed="64"/>
      </patternFill>
    </fill>
    <fill>
      <patternFill patternType="solid">
        <fgColor indexed="16"/>
        <bgColor indexed="64"/>
      </patternFill>
    </fill>
    <fill>
      <patternFill patternType="solid">
        <fgColor indexed="8"/>
        <bgColor indexed="64"/>
      </patternFill>
    </fill>
    <fill>
      <patternFill patternType="solid">
        <fgColor indexed="58"/>
        <bgColor indexed="64"/>
      </patternFill>
    </fill>
    <fill>
      <patternFill patternType="solid">
        <fgColor indexed="48"/>
        <bgColor indexed="64"/>
      </patternFill>
    </fill>
    <fill>
      <patternFill patternType="solid">
        <fgColor indexed="26"/>
        <bgColor indexed="64"/>
      </patternFill>
    </fill>
    <fill>
      <patternFill patternType="solid">
        <fgColor indexed="22"/>
        <bgColor indexed="64"/>
      </patternFill>
    </fill>
    <fill>
      <patternFill patternType="solid">
        <fgColor indexed="46"/>
        <bgColor indexed="64"/>
      </patternFill>
    </fill>
    <fill>
      <patternFill patternType="solid">
        <fgColor indexed="45"/>
        <bgColor indexed="64"/>
      </patternFill>
    </fill>
    <fill>
      <patternFill patternType="solid">
        <fgColor indexed="41"/>
        <bgColor indexed="64"/>
      </patternFill>
    </fill>
    <fill>
      <patternFill patternType="solid">
        <fgColor indexed="19"/>
        <bgColor indexed="64"/>
      </patternFill>
    </fill>
    <fill>
      <patternFill patternType="solid">
        <fgColor indexed="23"/>
        <bgColor indexed="64"/>
      </patternFill>
    </fill>
    <fill>
      <patternFill patternType="solid">
        <fgColor indexed="12"/>
        <bgColor indexed="64"/>
      </patternFill>
    </fill>
    <fill>
      <patternFill patternType="solid">
        <fgColor indexed="42"/>
        <bgColor indexed="26"/>
      </patternFill>
    </fill>
    <fill>
      <patternFill patternType="solid">
        <fgColor indexed="13"/>
        <bgColor indexed="64"/>
      </patternFill>
    </fill>
    <fill>
      <patternFill patternType="solid">
        <fgColor rgb="FFFFFF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lightTrellis">
        <bgColor indexed="26"/>
      </patternFill>
    </fill>
  </fills>
  <borders count="202">
    <border>
      <left/>
      <right/>
      <top/>
      <bottom/>
      <diagonal/>
    </border>
    <border>
      <left style="thin">
        <color indexed="8"/>
      </left>
      <right style="thin">
        <color indexed="14"/>
      </right>
      <top style="thin">
        <color indexed="14"/>
      </top>
      <bottom style="thin">
        <color indexed="9"/>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bottom/>
      <diagonal/>
    </border>
    <border>
      <left style="thin">
        <color indexed="64"/>
      </left>
      <right style="thin">
        <color indexed="64"/>
      </right>
      <top style="hair">
        <color indexed="64"/>
      </top>
      <bottom/>
      <diagonal/>
    </border>
    <border>
      <left style="thin">
        <color indexed="64"/>
      </left>
      <right/>
      <top style="hair">
        <color indexed="64"/>
      </top>
      <bottom/>
      <diagonal/>
    </border>
    <border>
      <left style="thin">
        <color indexed="64"/>
      </left>
      <right style="thin">
        <color indexed="64"/>
      </right>
      <top/>
      <bottom style="hair">
        <color indexed="64"/>
      </bottom>
      <diagonal/>
    </border>
    <border>
      <left style="thin">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diagonal/>
    </border>
    <border>
      <left/>
      <right style="thin">
        <color indexed="64"/>
      </right>
      <top style="hair">
        <color indexed="64"/>
      </top>
      <bottom style="thin">
        <color indexed="64"/>
      </bottom>
      <diagonal/>
    </border>
    <border>
      <left style="double">
        <color indexed="39"/>
      </left>
      <right style="medium">
        <color indexed="12"/>
      </right>
      <top style="medium">
        <color indexed="12"/>
      </top>
      <bottom style="medium">
        <color indexed="12"/>
      </bottom>
      <diagonal/>
    </border>
    <border>
      <left style="thin">
        <color indexed="64"/>
      </left>
      <right style="medium">
        <color indexed="12"/>
      </right>
      <top style="thin">
        <color indexed="64"/>
      </top>
      <bottom style="thin">
        <color indexed="64"/>
      </bottom>
      <diagonal/>
    </border>
    <border>
      <left style="thin">
        <color indexed="64"/>
      </left>
      <right style="medium">
        <color indexed="12"/>
      </right>
      <top/>
      <bottom style="thin">
        <color indexed="64"/>
      </bottom>
      <diagonal/>
    </border>
    <border>
      <left/>
      <right/>
      <top style="medium">
        <color indexed="12"/>
      </top>
      <bottom/>
      <diagonal/>
    </border>
    <border>
      <left style="thin">
        <color indexed="64"/>
      </left>
      <right style="medium">
        <color indexed="12"/>
      </right>
      <top style="thin">
        <color indexed="64"/>
      </top>
      <bottom/>
      <diagonal/>
    </border>
    <border>
      <left style="thin">
        <color indexed="64"/>
      </left>
      <right style="medium">
        <color indexed="12"/>
      </right>
      <top style="thin">
        <color indexed="64"/>
      </top>
      <bottom style="double">
        <color indexed="12"/>
      </bottom>
      <diagonal/>
    </border>
    <border>
      <left style="medium">
        <color indexed="12"/>
      </left>
      <right/>
      <top/>
      <bottom/>
      <diagonal/>
    </border>
    <border>
      <left style="thin">
        <color indexed="64"/>
      </left>
      <right style="medium">
        <color indexed="12"/>
      </right>
      <top style="medium">
        <color indexed="12"/>
      </top>
      <bottom style="thin">
        <color indexed="64"/>
      </bottom>
      <diagonal/>
    </border>
    <border>
      <left style="thin">
        <color indexed="23"/>
      </left>
      <right style="medium">
        <color indexed="12"/>
      </right>
      <top style="thin">
        <color indexed="23"/>
      </top>
      <bottom style="dashDotDot">
        <color indexed="23"/>
      </bottom>
      <diagonal/>
    </border>
    <border>
      <left style="medium">
        <color indexed="12"/>
      </left>
      <right style="medium">
        <color indexed="12"/>
      </right>
      <top style="medium">
        <color indexed="12"/>
      </top>
      <bottom style="medium">
        <color indexed="12"/>
      </bottom>
      <diagonal/>
    </border>
    <border>
      <left style="thin">
        <color indexed="64"/>
      </left>
      <right style="medium">
        <color indexed="12"/>
      </right>
      <top style="thin">
        <color indexed="64"/>
      </top>
      <bottom style="medium">
        <color indexed="12"/>
      </bottom>
      <diagonal/>
    </border>
    <border>
      <left style="medium">
        <color indexed="12"/>
      </left>
      <right style="medium">
        <color indexed="12"/>
      </right>
      <top style="medium">
        <color indexed="12"/>
      </top>
      <bottom style="dotted">
        <color indexed="52"/>
      </bottom>
      <diagonal/>
    </border>
    <border>
      <left style="medium">
        <color indexed="12"/>
      </left>
      <right style="medium">
        <color indexed="12"/>
      </right>
      <top style="dotted">
        <color indexed="52"/>
      </top>
      <bottom style="dotted">
        <color indexed="52"/>
      </bottom>
      <diagonal/>
    </border>
    <border>
      <left style="medium">
        <color indexed="12"/>
      </left>
      <right style="medium">
        <color indexed="12"/>
      </right>
      <top style="dotted">
        <color indexed="52"/>
      </top>
      <bottom style="medium">
        <color indexed="12"/>
      </bottom>
      <diagonal/>
    </border>
    <border>
      <left style="medium">
        <color indexed="12"/>
      </left>
      <right style="thin">
        <color indexed="58"/>
      </right>
      <top style="thin">
        <color indexed="64"/>
      </top>
      <bottom style="thin">
        <color indexed="23"/>
      </bottom>
      <diagonal/>
    </border>
    <border>
      <left style="medium">
        <color indexed="12"/>
      </left>
      <right style="thin">
        <color indexed="58"/>
      </right>
      <top style="thin">
        <color indexed="23"/>
      </top>
      <bottom style="thin">
        <color indexed="23"/>
      </bottom>
      <diagonal/>
    </border>
    <border>
      <left style="medium">
        <color indexed="12"/>
      </left>
      <right style="thin">
        <color indexed="58"/>
      </right>
      <top style="thin">
        <color indexed="23"/>
      </top>
      <bottom/>
      <diagonal/>
    </border>
    <border>
      <left style="medium">
        <color indexed="12"/>
      </left>
      <right style="thin">
        <color indexed="58"/>
      </right>
      <top style="thin">
        <color indexed="58"/>
      </top>
      <bottom style="thin">
        <color indexed="23"/>
      </bottom>
      <diagonal/>
    </border>
    <border>
      <left style="medium">
        <color indexed="12"/>
      </left>
      <right style="thin">
        <color indexed="58"/>
      </right>
      <top style="thin">
        <color indexed="23"/>
      </top>
      <bottom style="medium">
        <color indexed="12"/>
      </bottom>
      <diagonal/>
    </border>
    <border>
      <left style="medium">
        <color indexed="12"/>
      </left>
      <right style="medium">
        <color indexed="12"/>
      </right>
      <top style="thin">
        <color indexed="64"/>
      </top>
      <bottom style="medium">
        <color indexed="12"/>
      </bottom>
      <diagonal/>
    </border>
    <border>
      <left style="medium">
        <color indexed="12"/>
      </left>
      <right style="medium">
        <color indexed="12"/>
      </right>
      <top style="hair">
        <color indexed="52"/>
      </top>
      <bottom style="medium">
        <color indexed="12"/>
      </bottom>
      <diagonal/>
    </border>
    <border>
      <left style="medium">
        <color indexed="12"/>
      </left>
      <right style="thin">
        <color indexed="58"/>
      </right>
      <top/>
      <bottom style="medium">
        <color indexed="12"/>
      </bottom>
      <diagonal/>
    </border>
    <border>
      <left style="medium">
        <color indexed="12"/>
      </left>
      <right style="thin">
        <color indexed="58"/>
      </right>
      <top style="thin">
        <color indexed="23"/>
      </top>
      <bottom style="thin">
        <color indexed="59"/>
      </bottom>
      <diagonal/>
    </border>
    <border>
      <left style="medium">
        <color indexed="12"/>
      </left>
      <right style="thin">
        <color indexed="58"/>
      </right>
      <top/>
      <bottom style="thin">
        <color indexed="23"/>
      </bottom>
      <diagonal/>
    </border>
    <border>
      <left style="thin">
        <color indexed="58"/>
      </left>
      <right style="medium">
        <color indexed="12"/>
      </right>
      <top style="thin">
        <color indexed="23"/>
      </top>
      <bottom style="thin">
        <color indexed="59"/>
      </bottom>
      <diagonal/>
    </border>
    <border>
      <left style="medium">
        <color indexed="17"/>
      </left>
      <right style="medium">
        <color indexed="17"/>
      </right>
      <top/>
      <bottom/>
      <diagonal/>
    </border>
    <border>
      <left style="medium">
        <color indexed="17"/>
      </left>
      <right style="medium">
        <color indexed="17"/>
      </right>
      <top/>
      <bottom style="medium">
        <color indexed="17"/>
      </bottom>
      <diagonal/>
    </border>
    <border>
      <left/>
      <right/>
      <top style="double">
        <color indexed="20"/>
      </top>
      <bottom style="double">
        <color indexed="20"/>
      </bottom>
      <diagonal/>
    </border>
    <border>
      <left style="thin">
        <color indexed="58"/>
      </left>
      <right style="medium">
        <color indexed="12"/>
      </right>
      <top style="thin">
        <color indexed="64"/>
      </top>
      <bottom style="thin">
        <color indexed="23"/>
      </bottom>
      <diagonal/>
    </border>
    <border>
      <left style="thin">
        <color indexed="58"/>
      </left>
      <right style="medium">
        <color indexed="12"/>
      </right>
      <top/>
      <bottom style="thin">
        <color indexed="23"/>
      </bottom>
      <diagonal/>
    </border>
    <border>
      <left style="thin">
        <color indexed="58"/>
      </left>
      <right style="medium">
        <color indexed="12"/>
      </right>
      <top style="thin">
        <color indexed="23"/>
      </top>
      <bottom style="thin">
        <color indexed="23"/>
      </bottom>
      <diagonal/>
    </border>
    <border>
      <left style="thin">
        <color indexed="58"/>
      </left>
      <right style="medium">
        <color indexed="12"/>
      </right>
      <top style="thin">
        <color indexed="23"/>
      </top>
      <bottom style="medium">
        <color indexed="12"/>
      </bottom>
      <diagonal/>
    </border>
    <border>
      <left style="thin">
        <color indexed="58"/>
      </left>
      <right style="medium">
        <color indexed="12"/>
      </right>
      <top style="thin">
        <color indexed="23"/>
      </top>
      <bottom/>
      <diagonal/>
    </border>
    <border>
      <left style="thin">
        <color indexed="58"/>
      </left>
      <right style="medium">
        <color indexed="12"/>
      </right>
      <top style="thin">
        <color indexed="58"/>
      </top>
      <bottom style="thin">
        <color indexed="23"/>
      </bottom>
      <diagonal/>
    </border>
    <border>
      <left style="double">
        <color indexed="20"/>
      </left>
      <right/>
      <top style="double">
        <color indexed="20"/>
      </top>
      <bottom style="double">
        <color indexed="20"/>
      </bottom>
      <diagonal/>
    </border>
    <border>
      <left style="double">
        <color indexed="20"/>
      </left>
      <right/>
      <top/>
      <bottom/>
      <diagonal/>
    </border>
    <border>
      <left style="double">
        <color indexed="60"/>
      </left>
      <right/>
      <top style="double">
        <color indexed="60"/>
      </top>
      <bottom style="double">
        <color indexed="60"/>
      </bottom>
      <diagonal/>
    </border>
    <border>
      <left/>
      <right/>
      <top style="double">
        <color indexed="60"/>
      </top>
      <bottom style="double">
        <color indexed="60"/>
      </bottom>
      <diagonal/>
    </border>
    <border>
      <left/>
      <right style="double">
        <color indexed="60"/>
      </right>
      <top style="double">
        <color indexed="60"/>
      </top>
      <bottom style="double">
        <color indexed="60"/>
      </bottom>
      <diagonal/>
    </border>
    <border>
      <left style="double">
        <color indexed="60"/>
      </left>
      <right/>
      <top style="double">
        <color indexed="60"/>
      </top>
      <bottom/>
      <diagonal/>
    </border>
    <border>
      <left/>
      <right/>
      <top style="double">
        <color indexed="60"/>
      </top>
      <bottom/>
      <diagonal/>
    </border>
    <border>
      <left/>
      <right style="double">
        <color indexed="60"/>
      </right>
      <top style="double">
        <color indexed="60"/>
      </top>
      <bottom/>
      <diagonal/>
    </border>
    <border>
      <left style="double">
        <color indexed="60"/>
      </left>
      <right/>
      <top/>
      <bottom/>
      <diagonal/>
    </border>
    <border>
      <left/>
      <right style="double">
        <color indexed="60"/>
      </right>
      <top/>
      <bottom/>
      <diagonal/>
    </border>
    <border>
      <left style="double">
        <color indexed="60"/>
      </left>
      <right/>
      <top/>
      <bottom style="double">
        <color indexed="60"/>
      </bottom>
      <diagonal/>
    </border>
    <border>
      <left/>
      <right/>
      <top/>
      <bottom style="double">
        <color indexed="60"/>
      </bottom>
      <diagonal/>
    </border>
    <border>
      <left style="double">
        <color indexed="58"/>
      </left>
      <right/>
      <top/>
      <bottom/>
      <diagonal/>
    </border>
    <border>
      <left/>
      <right style="double">
        <color indexed="58"/>
      </right>
      <top/>
      <bottom/>
      <diagonal/>
    </border>
    <border>
      <left style="double">
        <color indexed="58"/>
      </left>
      <right/>
      <top style="double">
        <color indexed="58"/>
      </top>
      <bottom/>
      <diagonal/>
    </border>
    <border>
      <left/>
      <right/>
      <top style="double">
        <color indexed="58"/>
      </top>
      <bottom/>
      <diagonal/>
    </border>
    <border>
      <left/>
      <right style="double">
        <color indexed="58"/>
      </right>
      <top style="double">
        <color indexed="58"/>
      </top>
      <bottom/>
      <diagonal/>
    </border>
    <border>
      <left style="double">
        <color indexed="58"/>
      </left>
      <right/>
      <top/>
      <bottom style="double">
        <color indexed="58"/>
      </bottom>
      <diagonal/>
    </border>
    <border>
      <left/>
      <right/>
      <top/>
      <bottom style="double">
        <color indexed="58"/>
      </bottom>
      <diagonal/>
    </border>
    <border>
      <left/>
      <right style="double">
        <color indexed="58"/>
      </right>
      <top/>
      <bottom style="double">
        <color indexed="58"/>
      </bottom>
      <diagonal/>
    </border>
    <border>
      <left/>
      <right style="medium">
        <color indexed="12"/>
      </right>
      <top style="medium">
        <color indexed="12"/>
      </top>
      <bottom/>
      <diagonal/>
    </border>
    <border>
      <left style="medium">
        <color indexed="12"/>
      </left>
      <right/>
      <top/>
      <bottom style="medium">
        <color indexed="12"/>
      </bottom>
      <diagonal/>
    </border>
    <border>
      <left/>
      <right style="medium">
        <color indexed="12"/>
      </right>
      <top/>
      <bottom style="medium">
        <color indexed="12"/>
      </bottom>
      <diagonal/>
    </border>
    <border>
      <left/>
      <right style="medium">
        <color indexed="12"/>
      </right>
      <top/>
      <bottom/>
      <diagonal/>
    </border>
    <border>
      <left/>
      <right style="double">
        <color indexed="20"/>
      </right>
      <top/>
      <bottom/>
      <diagonal/>
    </border>
    <border>
      <left/>
      <right style="double">
        <color indexed="20"/>
      </right>
      <top style="double">
        <color indexed="20"/>
      </top>
      <bottom style="double">
        <color indexed="20"/>
      </bottom>
      <diagonal/>
    </border>
    <border>
      <left style="medium">
        <color indexed="12"/>
      </left>
      <right/>
      <top style="medium">
        <color indexed="12"/>
      </top>
      <bottom style="thin">
        <color indexed="64"/>
      </bottom>
      <diagonal/>
    </border>
    <border>
      <left/>
      <right/>
      <top style="medium">
        <color indexed="12"/>
      </top>
      <bottom style="thin">
        <color indexed="64"/>
      </bottom>
      <diagonal/>
    </border>
    <border>
      <left/>
      <right style="medium">
        <color indexed="12"/>
      </right>
      <top style="medium">
        <color indexed="12"/>
      </top>
      <bottom style="thin">
        <color indexed="64"/>
      </bottom>
      <diagonal/>
    </border>
    <border>
      <left style="medium">
        <color indexed="17"/>
      </left>
      <right style="medium">
        <color indexed="17"/>
      </right>
      <top style="medium">
        <color indexed="17"/>
      </top>
      <bottom style="thin">
        <color indexed="64"/>
      </bottom>
      <diagonal/>
    </border>
    <border>
      <left style="medium">
        <color indexed="12"/>
      </left>
      <right style="medium">
        <color indexed="12"/>
      </right>
      <top style="medium">
        <color indexed="12"/>
      </top>
      <bottom style="thin">
        <color indexed="64"/>
      </bottom>
      <diagonal/>
    </border>
    <border>
      <left style="medium">
        <color indexed="12"/>
      </left>
      <right/>
      <top style="medium">
        <color indexed="12"/>
      </top>
      <bottom/>
      <diagonal/>
    </border>
    <border>
      <left style="medium">
        <color indexed="12"/>
      </left>
      <right style="thin">
        <color indexed="58"/>
      </right>
      <top style="medium">
        <color indexed="12"/>
      </top>
      <bottom style="thin">
        <color indexed="64"/>
      </bottom>
      <diagonal/>
    </border>
    <border>
      <left style="medium">
        <color indexed="12"/>
      </left>
      <right style="thin">
        <color indexed="64"/>
      </right>
      <top style="thin">
        <color indexed="64"/>
      </top>
      <bottom style="thin">
        <color indexed="23"/>
      </bottom>
      <diagonal/>
    </border>
    <border>
      <left style="medium">
        <color indexed="12"/>
      </left>
      <right style="thin">
        <color indexed="64"/>
      </right>
      <top style="thin">
        <color indexed="23"/>
      </top>
      <bottom style="thin">
        <color indexed="23"/>
      </bottom>
      <diagonal/>
    </border>
    <border>
      <left style="medium">
        <color indexed="12"/>
      </left>
      <right style="thin">
        <color indexed="64"/>
      </right>
      <top style="thin">
        <color indexed="23"/>
      </top>
      <bottom style="medium">
        <color indexed="12"/>
      </bottom>
      <diagonal/>
    </border>
    <border>
      <left style="medium">
        <color indexed="12"/>
      </left>
      <right style="thin">
        <color indexed="64"/>
      </right>
      <top/>
      <bottom style="medium">
        <color indexed="12"/>
      </bottom>
      <diagonal/>
    </border>
    <border>
      <left style="medium">
        <color indexed="12"/>
      </left>
      <right style="thin">
        <color indexed="59"/>
      </right>
      <top style="medium">
        <color indexed="12"/>
      </top>
      <bottom style="medium">
        <color indexed="12"/>
      </bottom>
      <diagonal/>
    </border>
    <border>
      <left style="medium">
        <color indexed="12"/>
      </left>
      <right style="thin">
        <color indexed="58"/>
      </right>
      <top style="medium">
        <color indexed="12"/>
      </top>
      <bottom style="thin">
        <color indexed="58"/>
      </bottom>
      <diagonal/>
    </border>
    <border>
      <left style="medium">
        <color indexed="12"/>
      </left>
      <right style="thin">
        <color indexed="64"/>
      </right>
      <top style="thin">
        <color indexed="64"/>
      </top>
      <bottom style="thin">
        <color indexed="64"/>
      </bottom>
      <diagonal/>
    </border>
    <border>
      <left style="medium">
        <color indexed="12"/>
      </left>
      <right style="thin">
        <color indexed="64"/>
      </right>
      <top style="thin">
        <color indexed="64"/>
      </top>
      <bottom/>
      <diagonal/>
    </border>
    <border>
      <left style="medium">
        <color indexed="12"/>
      </left>
      <right style="thin">
        <color indexed="64"/>
      </right>
      <top style="thin">
        <color indexed="64"/>
      </top>
      <bottom style="medium">
        <color indexed="12"/>
      </bottom>
      <diagonal/>
    </border>
    <border>
      <left style="medium">
        <color indexed="12"/>
      </left>
      <right style="thin">
        <color indexed="64"/>
      </right>
      <top style="thin">
        <color indexed="64"/>
      </top>
      <bottom style="double">
        <color indexed="12"/>
      </bottom>
      <diagonal/>
    </border>
    <border>
      <left style="medium">
        <color indexed="12"/>
      </left>
      <right style="thin">
        <color indexed="64"/>
      </right>
      <top/>
      <bottom style="thin">
        <color indexed="64"/>
      </bottom>
      <diagonal/>
    </border>
    <border>
      <left style="medium">
        <color indexed="12"/>
      </left>
      <right style="thin">
        <color indexed="64"/>
      </right>
      <top style="medium">
        <color indexed="12"/>
      </top>
      <bottom style="thin">
        <color indexed="64"/>
      </bottom>
      <diagonal/>
    </border>
    <border>
      <left style="medium">
        <color indexed="12"/>
      </left>
      <right/>
      <top style="thin">
        <color indexed="64"/>
      </top>
      <bottom style="thin">
        <color indexed="64"/>
      </bottom>
      <diagonal/>
    </border>
    <border>
      <left/>
      <right/>
      <top style="thin">
        <color indexed="64"/>
      </top>
      <bottom/>
      <diagonal/>
    </border>
    <border>
      <left style="thin">
        <color indexed="64"/>
      </left>
      <right/>
      <top/>
      <bottom/>
      <diagonal/>
    </border>
    <border>
      <left style="medium">
        <color indexed="12"/>
      </left>
      <right/>
      <top style="medium">
        <color indexed="12"/>
      </top>
      <bottom style="medium">
        <color indexed="12"/>
      </bottom>
      <diagonal/>
    </border>
    <border>
      <left style="thin">
        <color indexed="64"/>
      </left>
      <right style="medium">
        <color indexed="12"/>
      </right>
      <top style="thin">
        <color indexed="64"/>
      </top>
      <bottom style="thin">
        <color indexed="23"/>
      </bottom>
      <diagonal/>
    </border>
    <border>
      <left style="thin">
        <color indexed="64"/>
      </left>
      <right style="medium">
        <color indexed="12"/>
      </right>
      <top style="thin">
        <color indexed="23"/>
      </top>
      <bottom style="thin">
        <color indexed="23"/>
      </bottom>
      <diagonal/>
    </border>
    <border>
      <left style="thin">
        <color indexed="64"/>
      </left>
      <right style="medium">
        <color indexed="12"/>
      </right>
      <top style="thin">
        <color indexed="23"/>
      </top>
      <bottom style="medium">
        <color indexed="12"/>
      </bottom>
      <diagonal/>
    </border>
    <border>
      <left style="thin">
        <color indexed="64"/>
      </left>
      <right style="medium">
        <color indexed="12"/>
      </right>
      <top/>
      <bottom style="medium">
        <color indexed="12"/>
      </bottom>
      <diagonal/>
    </border>
    <border>
      <left style="thin">
        <color indexed="64"/>
      </left>
      <right style="medium">
        <color indexed="12"/>
      </right>
      <top style="thin">
        <color indexed="64"/>
      </top>
      <bottom style="hair">
        <color indexed="64"/>
      </bottom>
      <diagonal/>
    </border>
    <border>
      <left style="thin">
        <color indexed="64"/>
      </left>
      <right/>
      <top style="double">
        <color indexed="12"/>
      </top>
      <bottom style="medium">
        <color indexed="12"/>
      </bottom>
      <diagonal/>
    </border>
    <border>
      <left style="thin">
        <color indexed="64"/>
      </left>
      <right style="medium">
        <color indexed="12"/>
      </right>
      <top style="double">
        <color indexed="12"/>
      </top>
      <bottom style="medium">
        <color indexed="12"/>
      </bottom>
      <diagonal/>
    </border>
    <border>
      <left style="thin">
        <color indexed="64"/>
      </left>
      <right style="medium">
        <color indexed="12"/>
      </right>
      <top/>
      <bottom/>
      <diagonal/>
    </border>
    <border>
      <left style="medium">
        <color indexed="12"/>
      </left>
      <right style="medium">
        <color indexed="12"/>
      </right>
      <top style="medium">
        <color indexed="12"/>
      </top>
      <bottom style="thin">
        <color indexed="59"/>
      </bottom>
      <diagonal/>
    </border>
    <border>
      <left style="medium">
        <color indexed="12"/>
      </left>
      <right style="medium">
        <color indexed="12"/>
      </right>
      <top/>
      <bottom style="medium">
        <color indexed="12"/>
      </bottom>
      <diagonal/>
    </border>
    <border>
      <left style="thin">
        <color indexed="58"/>
      </left>
      <right style="medium">
        <color indexed="12"/>
      </right>
      <top style="medium">
        <color indexed="12"/>
      </top>
      <bottom style="thin">
        <color indexed="64"/>
      </bottom>
      <diagonal/>
    </border>
    <border>
      <left style="medium">
        <color indexed="12"/>
      </left>
      <right style="thin">
        <color indexed="58"/>
      </right>
      <top style="thin">
        <color indexed="59"/>
      </top>
      <bottom style="thin">
        <color indexed="64"/>
      </bottom>
      <diagonal/>
    </border>
    <border>
      <left style="thin">
        <color indexed="58"/>
      </left>
      <right style="medium">
        <color indexed="12"/>
      </right>
      <top style="thin">
        <color indexed="59"/>
      </top>
      <bottom style="thin">
        <color indexed="64"/>
      </bottom>
      <diagonal/>
    </border>
    <border>
      <left style="thin">
        <color indexed="58"/>
      </left>
      <right style="medium">
        <color indexed="12"/>
      </right>
      <top/>
      <bottom style="medium">
        <color indexed="12"/>
      </bottom>
      <diagonal/>
    </border>
    <border>
      <left/>
      <right style="thin">
        <color indexed="64"/>
      </right>
      <top/>
      <bottom/>
      <diagonal/>
    </border>
    <border>
      <left style="thin">
        <color indexed="64"/>
      </left>
      <right/>
      <top style="medium">
        <color indexed="12"/>
      </top>
      <bottom style="thin">
        <color indexed="64"/>
      </bottom>
      <diagonal/>
    </border>
    <border>
      <left style="medium">
        <color indexed="12"/>
      </left>
      <right style="thin">
        <color indexed="64"/>
      </right>
      <top style="dotted">
        <color indexed="52"/>
      </top>
      <bottom style="dotted">
        <color indexed="52"/>
      </bottom>
      <diagonal/>
    </border>
    <border>
      <left style="medium">
        <color indexed="12"/>
      </left>
      <right style="thin">
        <color indexed="64"/>
      </right>
      <top/>
      <bottom style="dotted">
        <color indexed="52"/>
      </bottom>
      <diagonal/>
    </border>
    <border>
      <left style="thin">
        <color indexed="64"/>
      </left>
      <right/>
      <top style="dotted">
        <color indexed="52"/>
      </top>
      <bottom style="dotted">
        <color indexed="52"/>
      </bottom>
      <diagonal/>
    </border>
    <border>
      <left style="medium">
        <color indexed="12"/>
      </left>
      <right style="thin">
        <color indexed="64"/>
      </right>
      <top style="hair">
        <color indexed="52"/>
      </top>
      <bottom style="medium">
        <color indexed="12"/>
      </bottom>
      <diagonal/>
    </border>
    <border>
      <left style="thin">
        <color indexed="64"/>
      </left>
      <right/>
      <top style="dotted">
        <color indexed="52"/>
      </top>
      <bottom style="medium">
        <color indexed="12"/>
      </bottom>
      <diagonal/>
    </border>
    <border>
      <left/>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thin">
        <color indexed="64"/>
      </top>
      <bottom/>
      <diagonal/>
    </border>
    <border>
      <left style="hair">
        <color indexed="64"/>
      </left>
      <right style="hair">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thin">
        <color indexed="64"/>
      </top>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right/>
      <top style="dotted">
        <color indexed="52"/>
      </top>
      <bottom style="dotted">
        <color indexed="52"/>
      </bottom>
      <diagonal/>
    </border>
    <border>
      <left/>
      <right style="medium">
        <color indexed="12"/>
      </right>
      <top style="dotted">
        <color indexed="52"/>
      </top>
      <bottom style="dotted">
        <color indexed="52"/>
      </bottom>
      <diagonal/>
    </border>
    <border>
      <left/>
      <right/>
      <top/>
      <bottom style="medium">
        <color indexed="12"/>
      </bottom>
      <diagonal/>
    </border>
    <border>
      <left/>
      <right/>
      <top style="dotted">
        <color indexed="52"/>
      </top>
      <bottom style="medium">
        <color indexed="12"/>
      </bottom>
      <diagonal/>
    </border>
    <border>
      <left/>
      <right style="medium">
        <color indexed="12"/>
      </right>
      <top style="dotted">
        <color indexed="52"/>
      </top>
      <bottom style="medium">
        <color indexed="12"/>
      </bottom>
      <diagonal/>
    </border>
    <border>
      <left/>
      <right style="thin">
        <color indexed="64"/>
      </right>
      <top style="medium">
        <color indexed="12"/>
      </top>
      <bottom style="thin">
        <color indexed="64"/>
      </bottom>
      <diagonal/>
    </border>
    <border>
      <left style="thin">
        <color indexed="64"/>
      </left>
      <right/>
      <top style="thin">
        <color indexed="64"/>
      </top>
      <bottom style="dotted">
        <color indexed="52"/>
      </bottom>
      <diagonal/>
    </border>
    <border>
      <left/>
      <right/>
      <top style="thin">
        <color indexed="64"/>
      </top>
      <bottom style="dotted">
        <color indexed="52"/>
      </bottom>
      <diagonal/>
    </border>
    <border>
      <left/>
      <right style="medium">
        <color indexed="12"/>
      </right>
      <top style="thin">
        <color indexed="64"/>
      </top>
      <bottom style="dotted">
        <color indexed="52"/>
      </bottom>
      <diagonal/>
    </border>
    <border>
      <left/>
      <right style="medium">
        <color indexed="12"/>
      </right>
      <top style="medium">
        <color indexed="12"/>
      </top>
      <bottom style="medium">
        <color indexed="12"/>
      </bottom>
      <diagonal/>
    </border>
    <border>
      <left style="thin">
        <color indexed="64"/>
      </left>
      <right/>
      <top style="thin">
        <color indexed="64"/>
      </top>
      <bottom style="medium">
        <color indexed="12"/>
      </bottom>
      <diagonal/>
    </border>
    <border>
      <left/>
      <right style="medium">
        <color indexed="12"/>
      </right>
      <top style="thin">
        <color indexed="64"/>
      </top>
      <bottom style="medium">
        <color indexed="12"/>
      </bottom>
      <diagonal/>
    </border>
    <border>
      <left style="medium">
        <color indexed="12"/>
      </left>
      <right/>
      <top style="thin">
        <color indexed="64"/>
      </top>
      <bottom style="medium">
        <color indexed="12"/>
      </bottom>
      <diagonal/>
    </border>
    <border>
      <left/>
      <right style="medium">
        <color indexed="12"/>
      </right>
      <top style="thin">
        <color indexed="64"/>
      </top>
      <bottom style="thin">
        <color indexed="64"/>
      </bottom>
      <diagonal/>
    </border>
    <border>
      <left style="medium">
        <color indexed="12"/>
      </left>
      <right/>
      <top style="thin">
        <color indexed="58"/>
      </top>
      <bottom style="medium">
        <color indexed="12"/>
      </bottom>
      <diagonal/>
    </border>
    <border>
      <left/>
      <right style="medium">
        <color indexed="12"/>
      </right>
      <top style="thin">
        <color indexed="58"/>
      </top>
      <bottom style="medium">
        <color indexed="12"/>
      </bottom>
      <diagonal/>
    </border>
    <border>
      <left style="double">
        <color indexed="64"/>
      </left>
      <right style="thin">
        <color indexed="64"/>
      </right>
      <top style="double">
        <color indexed="64"/>
      </top>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bottom style="double">
        <color indexed="64"/>
      </bottom>
      <diagonal/>
    </border>
    <border>
      <left style="thin">
        <color indexed="64"/>
      </left>
      <right style="hair">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double">
        <color indexed="64"/>
      </left>
      <right style="thin">
        <color indexed="64"/>
      </right>
      <top/>
      <bottom style="hair">
        <color indexed="64"/>
      </bottom>
      <diagonal/>
    </border>
    <border>
      <left style="thin">
        <color indexed="64"/>
      </left>
      <right style="thin">
        <color indexed="64"/>
      </right>
      <top style="double">
        <color indexed="64"/>
      </top>
      <bottom style="hair">
        <color indexed="64"/>
      </bottom>
      <diagonal/>
    </border>
    <border>
      <left style="double">
        <color indexed="64"/>
      </left>
      <right style="thin">
        <color indexed="64"/>
      </right>
      <top style="hair">
        <color indexed="64"/>
      </top>
      <bottom style="hair">
        <color indexed="64"/>
      </bottom>
      <diagonal/>
    </border>
    <border>
      <left style="double">
        <color indexed="64"/>
      </left>
      <right style="thin">
        <color indexed="64"/>
      </right>
      <top style="hair">
        <color indexed="64"/>
      </top>
      <bottom style="double">
        <color indexed="64"/>
      </bottom>
      <diagonal/>
    </border>
    <border>
      <left style="thin">
        <color indexed="64"/>
      </left>
      <right style="thin">
        <color indexed="64"/>
      </right>
      <top style="hair">
        <color indexed="64"/>
      </top>
      <bottom style="double">
        <color indexed="64"/>
      </bottom>
      <diagonal/>
    </border>
    <border>
      <left/>
      <right/>
      <top style="medium">
        <color indexed="64"/>
      </top>
      <bottom style="medium">
        <color indexed="64"/>
      </bottom>
      <diagonal/>
    </border>
    <border>
      <left/>
      <right/>
      <top style="thin">
        <color indexed="64"/>
      </top>
      <bottom style="double">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right/>
      <top/>
      <bottom style="double">
        <color indexed="52"/>
      </bottom>
      <diagonal/>
    </border>
    <border>
      <left style="thin">
        <color indexed="64"/>
      </left>
      <right style="thin">
        <color indexed="64"/>
      </right>
      <top style="dotted">
        <color indexed="64"/>
      </top>
      <bottom style="dotted">
        <color indexed="64"/>
      </bottom>
      <diagonal/>
    </border>
    <border>
      <left style="thin">
        <color indexed="23"/>
      </left>
      <right style="thin">
        <color indexed="23"/>
      </right>
      <top style="thin">
        <color indexed="23"/>
      </top>
      <bottom style="thin">
        <color indexed="23"/>
      </bottom>
      <diagonal/>
    </border>
    <border>
      <left style="medium">
        <color indexed="64"/>
      </left>
      <right/>
      <top/>
      <bottom style="medium">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hair">
        <color indexed="64"/>
      </bottom>
      <diagonal/>
    </border>
    <border>
      <left style="hair">
        <color indexed="64"/>
      </left>
      <right/>
      <top style="thin">
        <color indexed="64"/>
      </top>
      <bottom/>
      <diagonal/>
    </border>
    <border>
      <left style="hair">
        <color indexed="64"/>
      </left>
      <right/>
      <top style="thin">
        <color indexed="64"/>
      </top>
      <bottom style="hair">
        <color indexed="64"/>
      </bottom>
      <diagonal/>
    </border>
    <border>
      <left style="hair">
        <color indexed="64"/>
      </left>
      <right/>
      <top style="hair">
        <color indexed="64"/>
      </top>
      <bottom style="hair">
        <color indexed="64"/>
      </bottom>
      <diagonal/>
    </border>
    <border>
      <left/>
      <right style="hair">
        <color indexed="64"/>
      </right>
      <top style="thin">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style="thin">
        <color auto="1"/>
      </left>
      <right style="thin">
        <color auto="1"/>
      </right>
      <top style="hair">
        <color indexed="64"/>
      </top>
      <bottom style="thin">
        <color indexed="64"/>
      </bottom>
      <diagonal/>
    </border>
    <border>
      <left/>
      <right style="thin">
        <color auto="1"/>
      </right>
      <top style="hair">
        <color indexed="64"/>
      </top>
      <bottom style="thin">
        <color indexed="64"/>
      </bottom>
      <diagonal/>
    </border>
    <border>
      <left style="thin">
        <color auto="1"/>
      </left>
      <right/>
      <top style="hair">
        <color indexed="64"/>
      </top>
      <bottom style="thin">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diagonal/>
    </border>
    <border>
      <left/>
      <right style="hair">
        <color indexed="64"/>
      </right>
      <top style="hair">
        <color indexed="64"/>
      </top>
      <bottom/>
      <diagonal/>
    </border>
  </borders>
  <cellStyleXfs count="135">
    <xf numFmtId="0" fontId="0" fillId="0" borderId="0">
      <alignment vertical="center"/>
    </xf>
    <xf numFmtId="0" fontId="8" fillId="2" borderId="1">
      <alignment vertical="center"/>
    </xf>
    <xf numFmtId="0" fontId="65" fillId="0" borderId="0">
      <alignment vertical="center"/>
    </xf>
    <xf numFmtId="0" fontId="65" fillId="0" borderId="0">
      <alignment vertical="center"/>
    </xf>
    <xf numFmtId="0" fontId="9" fillId="0" borderId="0">
      <alignment vertical="center"/>
    </xf>
    <xf numFmtId="0" fontId="9" fillId="0" borderId="0"/>
    <xf numFmtId="0" fontId="66" fillId="0" borderId="0"/>
    <xf numFmtId="0" fontId="66" fillId="0" borderId="0"/>
    <xf numFmtId="0" fontId="67" fillId="37" borderId="0" applyNumberFormat="0" applyBorder="0" applyAlignment="0" applyProtection="0">
      <alignment vertical="center"/>
    </xf>
    <xf numFmtId="0" fontId="67" fillId="38" borderId="0" applyNumberFormat="0" applyBorder="0" applyAlignment="0" applyProtection="0">
      <alignment vertical="center"/>
    </xf>
    <xf numFmtId="0" fontId="67" fillId="39" borderId="0" applyNumberFormat="0" applyBorder="0" applyAlignment="0" applyProtection="0">
      <alignment vertical="center"/>
    </xf>
    <xf numFmtId="0" fontId="67" fillId="40" borderId="0" applyNumberFormat="0" applyBorder="0" applyAlignment="0" applyProtection="0">
      <alignment vertical="center"/>
    </xf>
    <xf numFmtId="0" fontId="67" fillId="41" borderId="0" applyNumberFormat="0" applyBorder="0" applyAlignment="0" applyProtection="0">
      <alignment vertical="center"/>
    </xf>
    <xf numFmtId="0" fontId="67" fillId="42" borderId="0" applyNumberFormat="0" applyBorder="0" applyAlignment="0" applyProtection="0">
      <alignment vertical="center"/>
    </xf>
    <xf numFmtId="0" fontId="67" fillId="2" borderId="0" applyNumberFormat="0" applyBorder="0" applyAlignment="0" applyProtection="0">
      <alignment vertical="center"/>
    </xf>
    <xf numFmtId="0" fontId="67" fillId="43" borderId="0" applyNumberFormat="0" applyBorder="0" applyAlignment="0" applyProtection="0">
      <alignment vertical="center"/>
    </xf>
    <xf numFmtId="0" fontId="67" fillId="44" borderId="0" applyNumberFormat="0" applyBorder="0" applyAlignment="0" applyProtection="0">
      <alignment vertical="center"/>
    </xf>
    <xf numFmtId="0" fontId="67" fillId="40" borderId="0" applyNumberFormat="0" applyBorder="0" applyAlignment="0" applyProtection="0">
      <alignment vertical="center"/>
    </xf>
    <xf numFmtId="0" fontId="67" fillId="2" borderId="0" applyNumberFormat="0" applyBorder="0" applyAlignment="0" applyProtection="0">
      <alignment vertical="center"/>
    </xf>
    <xf numFmtId="0" fontId="67" fillId="45" borderId="0" applyNumberFormat="0" applyBorder="0" applyAlignment="0" applyProtection="0">
      <alignment vertical="center"/>
    </xf>
    <xf numFmtId="0" fontId="68" fillId="46" borderId="0" applyNumberFormat="0" applyBorder="0" applyAlignment="0" applyProtection="0">
      <alignment vertical="center"/>
    </xf>
    <xf numFmtId="0" fontId="68" fillId="43" borderId="0" applyNumberFormat="0" applyBorder="0" applyAlignment="0" applyProtection="0">
      <alignment vertical="center"/>
    </xf>
    <xf numFmtId="0" fontId="68" fillId="44" borderId="0" applyNumberFormat="0" applyBorder="0" applyAlignment="0" applyProtection="0">
      <alignment vertical="center"/>
    </xf>
    <xf numFmtId="0" fontId="68" fillId="47" borderId="0" applyNumberFormat="0" applyBorder="0" applyAlignment="0" applyProtection="0">
      <alignment vertical="center"/>
    </xf>
    <xf numFmtId="0" fontId="68" fillId="48" borderId="0" applyNumberFormat="0" applyBorder="0" applyAlignment="0" applyProtection="0">
      <alignment vertical="center"/>
    </xf>
    <xf numFmtId="0" fontId="68" fillId="49" borderId="0" applyNumberFormat="0" applyBorder="0" applyAlignment="0" applyProtection="0">
      <alignment vertical="center"/>
    </xf>
    <xf numFmtId="192" fontId="69" fillId="0" borderId="0" applyFill="0" applyBorder="0" applyAlignment="0"/>
    <xf numFmtId="166" fontId="70" fillId="0" borderId="0" applyFont="0" applyFill="0" applyBorder="0" applyAlignment="0" applyProtection="0"/>
    <xf numFmtId="0" fontId="72" fillId="0" borderId="0"/>
    <xf numFmtId="0" fontId="73" fillId="0" borderId="0"/>
    <xf numFmtId="0" fontId="72" fillId="0" borderId="0"/>
    <xf numFmtId="0" fontId="73" fillId="0" borderId="0"/>
    <xf numFmtId="42" fontId="70" fillId="0" borderId="0" applyFont="0" applyFill="0" applyBorder="0" applyAlignment="0" applyProtection="0"/>
    <xf numFmtId="0" fontId="74" fillId="0" borderId="0">
      <protection locked="0"/>
    </xf>
    <xf numFmtId="0" fontId="75" fillId="0" borderId="0">
      <protection locked="0"/>
    </xf>
    <xf numFmtId="0" fontId="75" fillId="0" borderId="0">
      <protection locked="0"/>
    </xf>
    <xf numFmtId="0" fontId="76" fillId="0" borderId="0">
      <alignment horizontal="left"/>
    </xf>
    <xf numFmtId="0" fontId="77" fillId="0" borderId="0">
      <protection locked="0"/>
    </xf>
    <xf numFmtId="0" fontId="74" fillId="0" borderId="0">
      <protection locked="0"/>
    </xf>
    <xf numFmtId="0" fontId="74" fillId="0" borderId="0">
      <protection locked="0"/>
    </xf>
    <xf numFmtId="0" fontId="74" fillId="0" borderId="0">
      <protection locked="0"/>
    </xf>
    <xf numFmtId="0" fontId="77" fillId="0" borderId="0">
      <protection locked="0"/>
    </xf>
    <xf numFmtId="0" fontId="74" fillId="0" borderId="0">
      <protection locked="0"/>
    </xf>
    <xf numFmtId="0" fontId="74" fillId="0" borderId="0">
      <protection locked="0"/>
    </xf>
    <xf numFmtId="0" fontId="74" fillId="0" borderId="0">
      <protection locked="0"/>
    </xf>
    <xf numFmtId="0" fontId="74" fillId="0" borderId="0">
      <protection locked="0"/>
    </xf>
    <xf numFmtId="38" fontId="78" fillId="27" borderId="0" applyNumberFormat="0" applyBorder="0" applyAlignment="0" applyProtection="0"/>
    <xf numFmtId="0" fontId="79" fillId="0" borderId="173" applyNumberFormat="0" applyAlignment="0" applyProtection="0">
      <alignment horizontal="left" vertical="center"/>
    </xf>
    <xf numFmtId="0" fontId="79" fillId="0" borderId="3">
      <alignment horizontal="left" vertical="center"/>
    </xf>
    <xf numFmtId="0" fontId="80" fillId="0" borderId="0" applyBorder="0"/>
    <xf numFmtId="10" fontId="78" fillId="26" borderId="25" applyNumberFormat="0" applyBorder="0" applyAlignment="0" applyProtection="0"/>
    <xf numFmtId="0" fontId="80" fillId="0" borderId="0"/>
    <xf numFmtId="0" fontId="29" fillId="0" borderId="0"/>
    <xf numFmtId="0" fontId="66" fillId="27" borderId="0" applyNumberFormat="0" applyFont="0" applyBorder="0" applyAlignment="0" applyProtection="0"/>
    <xf numFmtId="194" fontId="9" fillId="0" borderId="0" applyFont="0" applyFill="0" applyBorder="0" applyAlignment="0" applyProtection="0"/>
    <xf numFmtId="194" fontId="9" fillId="0" borderId="0" applyFont="0" applyFill="0" applyBorder="0" applyAlignment="0" applyProtection="0"/>
    <xf numFmtId="38" fontId="81" fillId="0" borderId="0" applyFont="0" applyFill="0" applyBorder="0" applyAlignment="0" applyProtection="0"/>
    <xf numFmtId="40" fontId="81" fillId="0" borderId="0" applyFont="0" applyFill="0" applyBorder="0" applyAlignment="0" applyProtection="0"/>
    <xf numFmtId="195" fontId="9" fillId="0" borderId="0" applyFont="0" applyFill="0" applyBorder="0" applyAlignment="0" applyProtection="0"/>
    <xf numFmtId="196" fontId="9" fillId="0" borderId="0" applyFont="0" applyFill="0" applyBorder="0" applyAlignment="0" applyProtection="0"/>
    <xf numFmtId="0" fontId="74" fillId="0" borderId="0">
      <protection locked="0"/>
    </xf>
    <xf numFmtId="6" fontId="81" fillId="0" borderId="0" applyFont="0" applyFill="0" applyBorder="0" applyAlignment="0" applyProtection="0"/>
    <xf numFmtId="8" fontId="81" fillId="0" borderId="0" applyFont="0" applyFill="0" applyBorder="0" applyAlignment="0" applyProtection="0"/>
    <xf numFmtId="37" fontId="82" fillId="0" borderId="0"/>
    <xf numFmtId="197" fontId="9" fillId="0" borderId="0"/>
    <xf numFmtId="0" fontId="83" fillId="0" borderId="0"/>
    <xf numFmtId="198" fontId="71" fillId="0" borderId="0" applyFont="0" applyFill="0" applyBorder="0" applyAlignment="0" applyProtection="0">
      <alignment horizontal="center"/>
      <protection locked="0"/>
    </xf>
    <xf numFmtId="10" fontId="71" fillId="0" borderId="0" applyFont="0" applyFill="0" applyBorder="0" applyAlignment="0" applyProtection="0"/>
    <xf numFmtId="0" fontId="74" fillId="0" borderId="0">
      <protection locked="0"/>
    </xf>
    <xf numFmtId="4" fontId="76" fillId="0" borderId="0">
      <alignment horizontal="right"/>
    </xf>
    <xf numFmtId="4" fontId="84" fillId="0" borderId="0">
      <alignment horizontal="right"/>
    </xf>
    <xf numFmtId="38" fontId="85" fillId="0" borderId="0"/>
    <xf numFmtId="0" fontId="86" fillId="0" borderId="0">
      <alignment horizontal="left"/>
    </xf>
    <xf numFmtId="0" fontId="87" fillId="0" borderId="0"/>
    <xf numFmtId="0" fontId="88" fillId="0" borderId="0">
      <alignment horizontal="center"/>
    </xf>
    <xf numFmtId="0" fontId="74" fillId="0" borderId="174">
      <protection locked="0"/>
    </xf>
    <xf numFmtId="0" fontId="68" fillId="50" borderId="0" applyNumberFormat="0" applyBorder="0" applyAlignment="0" applyProtection="0">
      <alignment vertical="center"/>
    </xf>
    <xf numFmtId="0" fontId="68" fillId="51" borderId="0" applyNumberFormat="0" applyBorder="0" applyAlignment="0" applyProtection="0">
      <alignment vertical="center"/>
    </xf>
    <xf numFmtId="0" fontId="68" fillId="52" borderId="0" applyNumberFormat="0" applyBorder="0" applyAlignment="0" applyProtection="0">
      <alignment vertical="center"/>
    </xf>
    <xf numFmtId="0" fontId="68" fillId="47" borderId="0" applyNumberFormat="0" applyBorder="0" applyAlignment="0" applyProtection="0">
      <alignment vertical="center"/>
    </xf>
    <xf numFmtId="0" fontId="68" fillId="48" borderId="0" applyNumberFormat="0" applyBorder="0" applyAlignment="0" applyProtection="0">
      <alignment vertical="center"/>
    </xf>
    <xf numFmtId="0" fontId="68" fillId="53" borderId="0" applyNumberFormat="0" applyBorder="0" applyAlignment="0" applyProtection="0">
      <alignment vertical="center"/>
    </xf>
    <xf numFmtId="0" fontId="73" fillId="0" borderId="0"/>
    <xf numFmtId="42" fontId="70" fillId="0" borderId="0" applyFont="0" applyFill="0" applyBorder="0" applyAlignment="0" applyProtection="0"/>
    <xf numFmtId="0" fontId="89" fillId="0" borderId="0" applyNumberFormat="0" applyFill="0" applyBorder="0" applyAlignment="0" applyProtection="0">
      <alignment vertical="center"/>
    </xf>
    <xf numFmtId="0" fontId="90" fillId="54" borderId="175" applyNumberFormat="0" applyAlignment="0" applyProtection="0">
      <alignment vertical="center"/>
    </xf>
    <xf numFmtId="0" fontId="91" fillId="55" borderId="0" applyNumberFormat="0" applyBorder="0" applyAlignment="0" applyProtection="0">
      <alignment vertical="center"/>
    </xf>
    <xf numFmtId="9" fontId="9" fillId="0" borderId="0" applyFont="0" applyFill="0" applyBorder="0" applyAlignment="0" applyProtection="0"/>
    <xf numFmtId="0" fontId="9" fillId="56" borderId="176" applyNumberFormat="0" applyFont="0" applyAlignment="0" applyProtection="0">
      <alignment vertical="center"/>
    </xf>
    <xf numFmtId="49" fontId="9" fillId="5" borderId="177">
      <alignment horizontal="center" vertical="center" wrapText="1"/>
    </xf>
    <xf numFmtId="0" fontId="92" fillId="0" borderId="178" applyNumberFormat="0" applyFill="0" applyAlignment="0" applyProtection="0">
      <alignment vertical="center"/>
    </xf>
    <xf numFmtId="0" fontId="93" fillId="38" borderId="0" applyNumberFormat="0" applyBorder="0" applyAlignment="0" applyProtection="0">
      <alignment vertical="center"/>
    </xf>
    <xf numFmtId="199" fontId="94" fillId="0" borderId="0" applyFont="0" applyFill="0" applyBorder="0" applyAlignment="0" applyProtection="0"/>
    <xf numFmtId="0" fontId="9" fillId="0" borderId="179"/>
    <xf numFmtId="0" fontId="95" fillId="57" borderId="180" applyNumberFormat="0" applyAlignment="0" applyProtection="0">
      <alignment vertical="center"/>
    </xf>
    <xf numFmtId="0" fontId="96" fillId="0" borderId="0" applyNumberFormat="0" applyFill="0" applyBorder="0" applyAlignment="0" applyProtection="0">
      <alignment vertical="center"/>
    </xf>
    <xf numFmtId="38" fontId="66" fillId="0" borderId="0"/>
    <xf numFmtId="0" fontId="97" fillId="0" borderId="181" applyBorder="0"/>
    <xf numFmtId="0" fontId="98" fillId="58" borderId="25">
      <alignment horizontal="center"/>
    </xf>
    <xf numFmtId="0" fontId="99" fillId="0" borderId="182" applyNumberFormat="0" applyFill="0" applyAlignment="0" applyProtection="0">
      <alignment vertical="center"/>
    </xf>
    <xf numFmtId="0" fontId="100" fillId="0" borderId="183" applyNumberFormat="0" applyFill="0" applyAlignment="0" applyProtection="0">
      <alignment vertical="center"/>
    </xf>
    <xf numFmtId="0" fontId="101" fillId="0" borderId="184" applyNumberFormat="0" applyFill="0" applyAlignment="0" applyProtection="0">
      <alignment vertical="center"/>
    </xf>
    <xf numFmtId="0" fontId="101" fillId="0" borderId="0" applyNumberFormat="0" applyFill="0" applyBorder="0" applyAlignment="0" applyProtection="0">
      <alignment vertical="center"/>
    </xf>
    <xf numFmtId="0" fontId="102" fillId="0" borderId="185" applyNumberFormat="0" applyFill="0" applyAlignment="0" applyProtection="0">
      <alignment vertical="center"/>
    </xf>
    <xf numFmtId="0" fontId="103" fillId="57" borderId="186" applyNumberFormat="0" applyAlignment="0" applyProtection="0">
      <alignment vertical="center"/>
    </xf>
    <xf numFmtId="200" fontId="94" fillId="0" borderId="0" applyFont="0" applyFill="0" applyBorder="0" applyAlignment="0" applyProtection="0"/>
    <xf numFmtId="0" fontId="104" fillId="0" borderId="0" applyNumberFormat="0" applyFill="0" applyBorder="0" applyAlignment="0" applyProtection="0">
      <alignment vertical="center"/>
    </xf>
    <xf numFmtId="165" fontId="9" fillId="0" borderId="0" applyFont="0" applyFill="0" applyBorder="0" applyAlignment="0" applyProtection="0"/>
    <xf numFmtId="164" fontId="9" fillId="0" borderId="0" applyFont="0" applyFill="0" applyBorder="0" applyAlignment="0" applyProtection="0"/>
    <xf numFmtId="201" fontId="94" fillId="0" borderId="0" applyFont="0" applyFill="0" applyBorder="0" applyAlignment="0" applyProtection="0"/>
    <xf numFmtId="0" fontId="105" fillId="42" borderId="180" applyNumberFormat="0" applyAlignment="0" applyProtection="0">
      <alignment vertical="center"/>
    </xf>
    <xf numFmtId="0" fontId="106" fillId="0" borderId="0"/>
    <xf numFmtId="0" fontId="9" fillId="0" borderId="0">
      <alignment vertical="center"/>
    </xf>
    <xf numFmtId="0" fontId="9" fillId="0" borderId="0">
      <alignment vertical="center"/>
    </xf>
    <xf numFmtId="0" fontId="67" fillId="0" borderId="0">
      <alignment vertical="center"/>
    </xf>
    <xf numFmtId="0" fontId="9" fillId="0" borderId="0"/>
    <xf numFmtId="0" fontId="107" fillId="0" borderId="0"/>
    <xf numFmtId="0" fontId="9" fillId="0" borderId="0"/>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1" fillId="0" borderId="11">
      <alignment horizontal="left"/>
    </xf>
    <xf numFmtId="49" fontId="1" fillId="0" borderId="0">
      <alignment horizontal="left" wrapText="1"/>
    </xf>
    <xf numFmtId="49" fontId="1" fillId="0" borderId="11">
      <alignment horizontal="left"/>
    </xf>
    <xf numFmtId="49" fontId="1" fillId="0" borderId="11">
      <alignment horizontal="left" vertical="top" wrapText="1"/>
    </xf>
    <xf numFmtId="0" fontId="1" fillId="0" borderId="0">
      <alignment wrapText="1"/>
    </xf>
    <xf numFmtId="0" fontId="108" fillId="0" borderId="0"/>
    <xf numFmtId="0" fontId="109" fillId="0" borderId="187" applyAlignment="0">
      <alignment vertical="center"/>
    </xf>
    <xf numFmtId="0" fontId="109" fillId="0" borderId="8"/>
    <xf numFmtId="0" fontId="110" fillId="39" borderId="0" applyNumberFormat="0" applyBorder="0" applyAlignment="0" applyProtection="0">
      <alignment vertical="center"/>
    </xf>
  </cellStyleXfs>
  <cellXfs count="570">
    <xf numFmtId="0" fontId="0" fillId="0" borderId="0" xfId="0">
      <alignment vertical="center"/>
    </xf>
    <xf numFmtId="0" fontId="3" fillId="0" borderId="0" xfId="0" applyFont="1" applyBorder="1" applyAlignment="1">
      <alignment vertical="center"/>
    </xf>
    <xf numFmtId="0" fontId="3" fillId="0" borderId="0" xfId="0" applyFont="1" applyFill="1" applyBorder="1" applyAlignment="1">
      <alignment horizontal="left" vertical="center"/>
    </xf>
    <xf numFmtId="0" fontId="6" fillId="0" borderId="0" xfId="0" applyFont="1" applyFill="1" applyBorder="1" applyAlignment="1">
      <alignment vertical="center"/>
    </xf>
    <xf numFmtId="0" fontId="3" fillId="0" borderId="0" xfId="0" applyFont="1" applyFill="1" applyBorder="1" applyAlignment="1">
      <alignment vertical="center"/>
    </xf>
    <xf numFmtId="168" fontId="7" fillId="0" borderId="0" xfId="0" applyNumberFormat="1" applyFont="1" applyFill="1" applyBorder="1" applyAlignment="1" applyProtection="1">
      <alignment horizontal="right"/>
      <protection locked="0"/>
    </xf>
    <xf numFmtId="14" fontId="3" fillId="0" borderId="0" xfId="0" applyNumberFormat="1" applyFont="1" applyFill="1" applyBorder="1" applyAlignment="1">
      <alignment vertical="center"/>
    </xf>
    <xf numFmtId="0" fontId="2" fillId="0" borderId="0" xfId="0" applyFont="1" applyBorder="1" applyAlignment="1"/>
    <xf numFmtId="0" fontId="2" fillId="0" borderId="0" xfId="0" applyFont="1" applyFill="1" applyBorder="1" applyAlignment="1"/>
    <xf numFmtId="0" fontId="8" fillId="0" borderId="0" xfId="0" applyFont="1" applyFill="1" applyBorder="1" applyAlignment="1">
      <alignment horizontal="left"/>
    </xf>
    <xf numFmtId="0" fontId="2" fillId="0" borderId="0" xfId="0" applyFont="1" applyFill="1" applyBorder="1" applyAlignment="1">
      <alignment horizontal="left" shrinkToFit="1"/>
    </xf>
    <xf numFmtId="0" fontId="2" fillId="0" borderId="0" xfId="0" applyFont="1" applyFill="1" applyBorder="1" applyAlignment="1">
      <alignment horizontal="center"/>
    </xf>
    <xf numFmtId="170" fontId="2" fillId="0" borderId="0" xfId="4" applyNumberFormat="1" applyFont="1" applyFill="1" applyBorder="1" applyAlignment="1">
      <alignment horizontal="center"/>
    </xf>
    <xf numFmtId="0" fontId="2" fillId="0" borderId="0" xfId="0" applyFont="1" applyBorder="1">
      <alignment vertical="center"/>
    </xf>
    <xf numFmtId="0" fontId="8" fillId="3" borderId="2" xfId="0" applyFont="1" applyFill="1" applyBorder="1" applyAlignment="1" applyProtection="1">
      <alignment horizontal="left" vertical="top"/>
    </xf>
    <xf numFmtId="0" fontId="2" fillId="3" borderId="2" xfId="0" applyFont="1" applyFill="1" applyBorder="1" applyAlignment="1" applyProtection="1">
      <alignment vertical="top"/>
    </xf>
    <xf numFmtId="171" fontId="2" fillId="3" borderId="3" xfId="0" applyNumberFormat="1" applyFont="1" applyFill="1" applyBorder="1" applyAlignment="1" applyProtection="1">
      <alignment horizontal="centerContinuous" vertical="center"/>
    </xf>
    <xf numFmtId="172" fontId="2" fillId="3" borderId="3" xfId="0" applyNumberFormat="1" applyFont="1" applyFill="1" applyBorder="1" applyAlignment="1" applyProtection="1">
      <alignment horizontal="centerContinuous" vertical="center"/>
    </xf>
    <xf numFmtId="172" fontId="2" fillId="3" borderId="4" xfId="0" applyNumberFormat="1" applyFont="1" applyFill="1" applyBorder="1" applyAlignment="1" applyProtection="1">
      <alignment horizontal="centerContinuous" vertical="center"/>
    </xf>
    <xf numFmtId="0" fontId="2" fillId="3" borderId="5" xfId="0" applyFont="1" applyFill="1" applyBorder="1" applyAlignment="1" applyProtection="1">
      <alignment horizontal="centerContinuous" vertical="center"/>
    </xf>
    <xf numFmtId="0" fontId="2" fillId="3" borderId="3" xfId="0" applyFont="1" applyFill="1" applyBorder="1" applyAlignment="1" applyProtection="1">
      <alignment horizontal="centerContinuous" vertical="center"/>
    </xf>
    <xf numFmtId="0" fontId="2" fillId="3" borderId="4" xfId="0" applyFont="1" applyFill="1" applyBorder="1" applyAlignment="1" applyProtection="1">
      <alignment horizontal="centerContinuous" vertical="center"/>
    </xf>
    <xf numFmtId="169" fontId="2" fillId="3" borderId="6" xfId="0" applyNumberFormat="1" applyFont="1" applyFill="1" applyBorder="1" applyAlignment="1" applyProtection="1">
      <alignment horizontal="center" vertical="center"/>
    </xf>
    <xf numFmtId="49" fontId="10" fillId="3" borderId="7" xfId="0" applyNumberFormat="1" applyFont="1" applyFill="1" applyBorder="1" applyAlignment="1" applyProtection="1">
      <alignment horizontal="center" vertical="top" shrinkToFit="1"/>
    </xf>
    <xf numFmtId="0" fontId="2" fillId="3" borderId="6" xfId="0" applyFont="1" applyFill="1" applyBorder="1" applyAlignment="1" applyProtection="1">
      <alignment vertical="top"/>
    </xf>
    <xf numFmtId="49" fontId="8" fillId="3" borderId="8" xfId="0" applyNumberFormat="1" applyFont="1" applyFill="1" applyBorder="1" applyAlignment="1" applyProtection="1">
      <alignment horizontal="center" vertical="top"/>
    </xf>
    <xf numFmtId="49" fontId="2" fillId="3" borderId="8" xfId="0" applyNumberFormat="1" applyFont="1" applyFill="1" applyBorder="1" applyAlignment="1" applyProtection="1">
      <alignment horizontal="center" vertical="top" shrinkToFit="1"/>
    </xf>
    <xf numFmtId="49" fontId="2" fillId="3" borderId="8" xfId="0" applyNumberFormat="1" applyFont="1" applyFill="1" applyBorder="1" applyAlignment="1" applyProtection="1">
      <alignment horizontal="center" vertical="top"/>
    </xf>
    <xf numFmtId="0" fontId="2" fillId="3" borderId="9" xfId="0" applyFont="1" applyFill="1" applyBorder="1" applyAlignment="1" applyProtection="1">
      <alignment horizontal="center" vertical="top"/>
    </xf>
    <xf numFmtId="169" fontId="2" fillId="3" borderId="8" xfId="0" applyNumberFormat="1" applyFont="1" applyFill="1" applyBorder="1" applyAlignment="1" applyProtection="1">
      <alignment horizontal="center" vertical="center"/>
    </xf>
    <xf numFmtId="49" fontId="2" fillId="3" borderId="10" xfId="0" applyNumberFormat="1" applyFont="1" applyFill="1" applyBorder="1" applyAlignment="1" applyProtection="1">
      <alignment horizontal="center" vertical="top" shrinkToFit="1"/>
    </xf>
    <xf numFmtId="49" fontId="2" fillId="3" borderId="9" xfId="0" applyNumberFormat="1" applyFont="1" applyFill="1" applyBorder="1" applyAlignment="1" applyProtection="1">
      <alignment horizontal="left" vertical="top"/>
    </xf>
    <xf numFmtId="0" fontId="2" fillId="0" borderId="0" xfId="0" applyFont="1" applyFill="1" applyBorder="1">
      <alignment vertical="center"/>
    </xf>
    <xf numFmtId="0" fontId="8" fillId="0" borderId="0" xfId="0" applyFont="1" applyFill="1" applyBorder="1" applyAlignment="1">
      <alignment horizontal="left" vertical="center"/>
    </xf>
    <xf numFmtId="0" fontId="2" fillId="0" borderId="0" xfId="0" applyFont="1" applyFill="1" applyBorder="1" applyAlignment="1">
      <alignment horizontal="left" vertical="center" shrinkToFit="1"/>
    </xf>
    <xf numFmtId="0" fontId="2" fillId="0" borderId="0" xfId="0" applyFont="1" applyFill="1" applyBorder="1" applyAlignment="1">
      <alignment horizontal="center" vertical="center"/>
    </xf>
    <xf numFmtId="0" fontId="2" fillId="0" borderId="0" xfId="0" applyFont="1" applyAlignment="1">
      <alignment vertical="center"/>
    </xf>
    <xf numFmtId="0" fontId="2" fillId="0" borderId="0" xfId="0" applyFont="1" applyAlignment="1">
      <alignment horizontal="center" vertical="center"/>
    </xf>
    <xf numFmtId="0" fontId="2" fillId="0" borderId="11" xfId="0" applyFont="1" applyFill="1" applyBorder="1" applyAlignment="1">
      <alignment horizontal="center" vertical="center"/>
    </xf>
    <xf numFmtId="0" fontId="2" fillId="0" borderId="11" xfId="0" applyFont="1" applyFill="1" applyBorder="1" applyAlignment="1">
      <alignment vertical="center"/>
    </xf>
    <xf numFmtId="0" fontId="2" fillId="0" borderId="0" xfId="0" applyFont="1" applyFill="1" applyBorder="1" applyAlignment="1">
      <alignment vertical="center"/>
    </xf>
    <xf numFmtId="0" fontId="2" fillId="0" borderId="0" xfId="0" applyFont="1" applyBorder="1" applyAlignment="1">
      <alignment vertical="center"/>
    </xf>
    <xf numFmtId="49" fontId="2" fillId="3" borderId="7" xfId="0" applyNumberFormat="1" applyFont="1" applyFill="1" applyBorder="1" applyAlignment="1" applyProtection="1">
      <alignment horizontal="center" vertical="center" shrinkToFit="1"/>
    </xf>
    <xf numFmtId="0" fontId="2" fillId="3" borderId="12" xfId="0" applyFont="1" applyFill="1" applyBorder="1" applyAlignment="1">
      <alignment vertical="center"/>
    </xf>
    <xf numFmtId="0" fontId="2" fillId="4" borderId="13" xfId="0" applyFont="1" applyFill="1" applyBorder="1" applyAlignment="1">
      <alignment horizontal="center" vertical="center"/>
    </xf>
    <xf numFmtId="0" fontId="2" fillId="4" borderId="14" xfId="0" applyFont="1" applyFill="1" applyBorder="1" applyAlignment="1">
      <alignment horizontal="center" vertical="center"/>
    </xf>
    <xf numFmtId="0" fontId="2" fillId="5" borderId="14" xfId="0" applyFont="1" applyFill="1" applyBorder="1" applyAlignment="1">
      <alignment horizontal="center" vertical="center"/>
    </xf>
    <xf numFmtId="0" fontId="2" fillId="0" borderId="12" xfId="0" applyFont="1" applyBorder="1" applyAlignment="1">
      <alignment vertical="center"/>
    </xf>
    <xf numFmtId="0" fontId="2" fillId="0" borderId="15" xfId="0" applyFont="1" applyBorder="1" applyAlignment="1">
      <alignment vertical="center"/>
    </xf>
    <xf numFmtId="0" fontId="2" fillId="0" borderId="13" xfId="0" applyFont="1" applyBorder="1" applyAlignment="1">
      <alignment vertical="center"/>
    </xf>
    <xf numFmtId="0" fontId="2" fillId="6" borderId="16" xfId="0" applyFont="1" applyFill="1" applyBorder="1" applyAlignment="1">
      <alignment vertical="center"/>
    </xf>
    <xf numFmtId="0" fontId="2" fillId="0" borderId="17" xfId="0" applyFont="1" applyBorder="1" applyAlignment="1">
      <alignment vertical="center"/>
    </xf>
    <xf numFmtId="0" fontId="2" fillId="0" borderId="18" xfId="0" applyFont="1" applyBorder="1" applyAlignment="1">
      <alignment vertical="center"/>
    </xf>
    <xf numFmtId="0" fontId="2" fillId="7" borderId="16" xfId="0" applyFont="1" applyFill="1" applyBorder="1" applyAlignment="1">
      <alignment vertical="center"/>
    </xf>
    <xf numFmtId="0" fontId="2" fillId="8" borderId="16" xfId="0" applyFont="1" applyFill="1" applyBorder="1" applyAlignment="1">
      <alignment vertical="center"/>
    </xf>
    <xf numFmtId="0" fontId="2" fillId="9" borderId="16" xfId="0" applyFont="1" applyFill="1" applyBorder="1" applyAlignment="1">
      <alignment vertical="center"/>
    </xf>
    <xf numFmtId="0" fontId="2" fillId="10" borderId="16" xfId="0" applyFont="1" applyFill="1" applyBorder="1" applyAlignment="1">
      <alignment vertical="center"/>
    </xf>
    <xf numFmtId="0" fontId="2" fillId="0" borderId="0" xfId="0" applyFont="1" applyProtection="1">
      <alignment vertical="center"/>
      <protection locked="0"/>
    </xf>
    <xf numFmtId="0" fontId="8" fillId="0" borderId="0" xfId="0" applyFont="1" applyAlignment="1" applyProtection="1">
      <alignment horizontal="left" vertical="center"/>
      <protection locked="0"/>
    </xf>
    <xf numFmtId="0" fontId="2" fillId="0" borderId="0" xfId="0" applyFont="1" applyAlignment="1" applyProtection="1">
      <alignment horizontal="center" vertical="center"/>
      <protection locked="0"/>
    </xf>
    <xf numFmtId="169" fontId="2" fillId="0" borderId="0" xfId="0" applyNumberFormat="1" applyFont="1" applyAlignment="1" applyProtection="1">
      <alignment horizontal="center" vertical="center"/>
      <protection locked="0"/>
    </xf>
    <xf numFmtId="49" fontId="10" fillId="0" borderId="0" xfId="0" applyNumberFormat="1" applyFont="1" applyAlignment="1" applyProtection="1">
      <alignment horizontal="center" vertical="center" shrinkToFit="1"/>
      <protection locked="0"/>
    </xf>
    <xf numFmtId="0" fontId="3" fillId="0" borderId="0" xfId="0" applyFont="1" applyProtection="1">
      <alignment vertical="center"/>
      <protection locked="0"/>
    </xf>
    <xf numFmtId="0" fontId="2" fillId="0" borderId="0" xfId="0" applyFont="1" applyBorder="1" applyAlignment="1" applyProtection="1">
      <alignment horizontal="center" vertical="center"/>
      <protection locked="0"/>
    </xf>
    <xf numFmtId="169" fontId="2" fillId="0" borderId="0" xfId="0" applyNumberFormat="1" applyFont="1" applyBorder="1" applyAlignment="1" applyProtection="1">
      <alignment horizontal="center" vertical="center"/>
      <protection locked="0"/>
    </xf>
    <xf numFmtId="0" fontId="8" fillId="11" borderId="2" xfId="0" applyNumberFormat="1" applyFont="1" applyFill="1" applyBorder="1" applyAlignment="1">
      <alignment horizontal="left" vertical="center"/>
    </xf>
    <xf numFmtId="49" fontId="2" fillId="3" borderId="7" xfId="0" applyNumberFormat="1" applyFont="1" applyFill="1" applyBorder="1" applyAlignment="1">
      <alignment horizontal="center" vertical="center" shrinkToFit="1"/>
    </xf>
    <xf numFmtId="0" fontId="8" fillId="11" borderId="19" xfId="0" applyNumberFormat="1" applyFont="1" applyFill="1" applyBorder="1" applyAlignment="1">
      <alignment horizontal="left" vertical="center"/>
    </xf>
    <xf numFmtId="0" fontId="8" fillId="11" borderId="20" xfId="0" applyNumberFormat="1" applyFont="1" applyFill="1" applyBorder="1" applyAlignment="1">
      <alignment horizontal="left" vertical="center"/>
    </xf>
    <xf numFmtId="49" fontId="2" fillId="6" borderId="21" xfId="0" applyNumberFormat="1" applyFont="1" applyFill="1" applyBorder="1" applyAlignment="1">
      <alignment horizontal="center" vertical="center" shrinkToFit="1"/>
    </xf>
    <xf numFmtId="49" fontId="2" fillId="6" borderId="16" xfId="0" applyNumberFormat="1" applyFont="1" applyFill="1" applyBorder="1" applyAlignment="1">
      <alignment horizontal="center" vertical="center" shrinkToFit="1"/>
    </xf>
    <xf numFmtId="0" fontId="8" fillId="11" borderId="22" xfId="0" applyNumberFormat="1" applyFont="1" applyFill="1" applyBorder="1" applyAlignment="1">
      <alignment horizontal="left" vertical="center"/>
    </xf>
    <xf numFmtId="0" fontId="12" fillId="11" borderId="8" xfId="0" applyNumberFormat="1" applyFont="1" applyFill="1" applyBorder="1" applyAlignment="1">
      <alignment horizontal="left" vertical="center"/>
    </xf>
    <xf numFmtId="0" fontId="8" fillId="11" borderId="8" xfId="0" applyNumberFormat="1" applyFont="1" applyFill="1" applyBorder="1" applyAlignment="1">
      <alignment horizontal="left" vertical="center"/>
    </xf>
    <xf numFmtId="49" fontId="2" fillId="6" borderId="23" xfId="0" applyNumberFormat="1" applyFont="1" applyFill="1" applyBorder="1" applyAlignment="1">
      <alignment horizontal="center" vertical="center" shrinkToFit="1"/>
    </xf>
    <xf numFmtId="49" fontId="2" fillId="12" borderId="7" xfId="0" applyNumberFormat="1" applyFont="1" applyFill="1" applyBorder="1" applyAlignment="1">
      <alignment horizontal="center" vertical="center" shrinkToFit="1"/>
    </xf>
    <xf numFmtId="49" fontId="2" fillId="7" borderId="21" xfId="0" applyNumberFormat="1" applyFont="1" applyFill="1" applyBorder="1" applyAlignment="1">
      <alignment horizontal="center" vertical="center" shrinkToFit="1"/>
    </xf>
    <xf numFmtId="49" fontId="2" fillId="7" borderId="16" xfId="0" applyNumberFormat="1" applyFont="1" applyFill="1" applyBorder="1" applyAlignment="1">
      <alignment horizontal="center" vertical="center" shrinkToFit="1"/>
    </xf>
    <xf numFmtId="49" fontId="2" fillId="8" borderId="21" xfId="0" applyNumberFormat="1" applyFont="1" applyFill="1" applyBorder="1" applyAlignment="1">
      <alignment horizontal="center" vertical="center" shrinkToFit="1"/>
    </xf>
    <xf numFmtId="49" fontId="2" fillId="8" borderId="16" xfId="0" applyNumberFormat="1" applyFont="1" applyFill="1" applyBorder="1" applyAlignment="1">
      <alignment horizontal="center" vertical="center" shrinkToFit="1"/>
    </xf>
    <xf numFmtId="49" fontId="2" fillId="9" borderId="16" xfId="0" applyNumberFormat="1" applyFont="1" applyFill="1" applyBorder="1" applyAlignment="1">
      <alignment horizontal="center" vertical="center" shrinkToFit="1"/>
    </xf>
    <xf numFmtId="49" fontId="2" fillId="9" borderId="23" xfId="0" applyNumberFormat="1" applyFont="1" applyFill="1" applyBorder="1" applyAlignment="1">
      <alignment horizontal="center" vertical="center" shrinkToFit="1"/>
    </xf>
    <xf numFmtId="49" fontId="2" fillId="13" borderId="7" xfId="0" applyNumberFormat="1" applyFont="1" applyFill="1" applyBorder="1" applyAlignment="1">
      <alignment horizontal="center" vertical="center" shrinkToFit="1"/>
    </xf>
    <xf numFmtId="49" fontId="2" fillId="9" borderId="21" xfId="0" applyNumberFormat="1" applyFont="1" applyFill="1" applyBorder="1" applyAlignment="1">
      <alignment horizontal="center" vertical="center" shrinkToFit="1"/>
    </xf>
    <xf numFmtId="49" fontId="2" fillId="10" borderId="21" xfId="0" applyNumberFormat="1" applyFont="1" applyFill="1" applyBorder="1" applyAlignment="1">
      <alignment horizontal="center" vertical="center" shrinkToFit="1"/>
    </xf>
    <xf numFmtId="49" fontId="2" fillId="10" borderId="16" xfId="0" applyNumberFormat="1" applyFont="1" applyFill="1" applyBorder="1" applyAlignment="1">
      <alignment horizontal="center" vertical="center" shrinkToFit="1"/>
    </xf>
    <xf numFmtId="49" fontId="2" fillId="10" borderId="23" xfId="0" applyNumberFormat="1" applyFont="1" applyFill="1" applyBorder="1" applyAlignment="1">
      <alignment horizontal="center" vertical="center" shrinkToFit="1"/>
    </xf>
    <xf numFmtId="49" fontId="2" fillId="14" borderId="7" xfId="0" applyNumberFormat="1" applyFont="1" applyFill="1" applyBorder="1" applyAlignment="1">
      <alignment horizontal="center" vertical="center" shrinkToFit="1"/>
    </xf>
    <xf numFmtId="49" fontId="2" fillId="15" borderId="21" xfId="0" applyNumberFormat="1" applyFont="1" applyFill="1" applyBorder="1" applyAlignment="1">
      <alignment horizontal="center" vertical="center" shrinkToFit="1"/>
    </xf>
    <xf numFmtId="49" fontId="2" fillId="15" borderId="16" xfId="0" applyNumberFormat="1" applyFont="1" applyFill="1" applyBorder="1" applyAlignment="1">
      <alignment horizontal="center" vertical="center" shrinkToFit="1"/>
    </xf>
    <xf numFmtId="0" fontId="8" fillId="11" borderId="24" xfId="0" applyNumberFormat="1" applyFont="1" applyFill="1" applyBorder="1" applyAlignment="1">
      <alignment horizontal="left" vertical="center"/>
    </xf>
    <xf numFmtId="49" fontId="2" fillId="15" borderId="23" xfId="0" applyNumberFormat="1" applyFont="1" applyFill="1" applyBorder="1" applyAlignment="1">
      <alignment horizontal="center" vertical="center" shrinkToFit="1"/>
    </xf>
    <xf numFmtId="0" fontId="2" fillId="0" borderId="0" xfId="0" applyFont="1" applyFill="1" applyProtection="1">
      <alignment vertical="center"/>
    </xf>
    <xf numFmtId="0" fontId="2" fillId="0" borderId="0" xfId="0" applyFont="1" applyProtection="1">
      <alignment vertical="center"/>
    </xf>
    <xf numFmtId="168" fontId="10" fillId="0" borderId="0" xfId="0" applyNumberFormat="1" applyFont="1" applyFill="1" applyBorder="1" applyAlignment="1"/>
    <xf numFmtId="0" fontId="2" fillId="3" borderId="6" xfId="0" applyFont="1" applyFill="1" applyBorder="1" applyAlignment="1" applyProtection="1">
      <alignment horizontal="centerContinuous" vertical="center"/>
    </xf>
    <xf numFmtId="49" fontId="2" fillId="3" borderId="25" xfId="0" applyNumberFormat="1" applyFont="1" applyFill="1" applyBorder="1" applyAlignment="1" applyProtection="1">
      <alignment horizontal="center" vertical="top"/>
    </xf>
    <xf numFmtId="179" fontId="2" fillId="16" borderId="2" xfId="0" applyNumberFormat="1" applyFont="1" applyFill="1" applyBorder="1" applyAlignment="1">
      <alignment horizontal="center" vertical="center"/>
    </xf>
    <xf numFmtId="179" fontId="2" fillId="16" borderId="20" xfId="0" applyNumberFormat="1" applyFont="1" applyFill="1" applyBorder="1" applyAlignment="1">
      <alignment horizontal="center" vertical="center"/>
    </xf>
    <xf numFmtId="179" fontId="2" fillId="16" borderId="26" xfId="0" applyNumberFormat="1" applyFont="1" applyFill="1" applyBorder="1" applyAlignment="1">
      <alignment horizontal="center" vertical="center"/>
    </xf>
    <xf numFmtId="179" fontId="2" fillId="16" borderId="24" xfId="0" applyNumberFormat="1" applyFont="1" applyFill="1" applyBorder="1" applyAlignment="1">
      <alignment horizontal="center" vertical="center"/>
    </xf>
    <xf numFmtId="14" fontId="2" fillId="4" borderId="6" xfId="0" applyNumberFormat="1" applyFont="1" applyFill="1" applyBorder="1" applyAlignment="1">
      <alignment horizontal="left" vertical="center"/>
    </xf>
    <xf numFmtId="14" fontId="2" fillId="4" borderId="27" xfId="0" applyNumberFormat="1" applyFont="1" applyFill="1" applyBorder="1" applyAlignment="1">
      <alignment horizontal="left" vertical="center"/>
    </xf>
    <xf numFmtId="14" fontId="2" fillId="4" borderId="18" xfId="0" applyNumberFormat="1" applyFont="1" applyFill="1" applyBorder="1" applyAlignment="1">
      <alignment horizontal="left" vertical="center"/>
    </xf>
    <xf numFmtId="14" fontId="2" fillId="4" borderId="28" xfId="0" applyNumberFormat="1" applyFont="1" applyFill="1" applyBorder="1" applyAlignment="1">
      <alignment horizontal="left" vertical="center"/>
    </xf>
    <xf numFmtId="169" fontId="2" fillId="16" borderId="2" xfId="0" applyNumberFormat="1" applyFont="1" applyFill="1" applyBorder="1" applyAlignment="1">
      <alignment horizontal="center" vertical="center" shrinkToFit="1"/>
    </xf>
    <xf numFmtId="169" fontId="2" fillId="16" borderId="20" xfId="0" applyNumberFormat="1" applyFont="1" applyFill="1" applyBorder="1" applyAlignment="1">
      <alignment horizontal="center" vertical="center" shrinkToFit="1"/>
    </xf>
    <xf numFmtId="169" fontId="2" fillId="16" borderId="26" xfId="0" applyNumberFormat="1" applyFont="1" applyFill="1" applyBorder="1" applyAlignment="1">
      <alignment horizontal="center" vertical="center" shrinkToFit="1"/>
    </xf>
    <xf numFmtId="169" fontId="2" fillId="16" borderId="24" xfId="0" applyNumberFormat="1" applyFont="1" applyFill="1" applyBorder="1" applyAlignment="1">
      <alignment horizontal="center" vertical="center" shrinkToFit="1"/>
    </xf>
    <xf numFmtId="175" fontId="2" fillId="17" borderId="2" xfId="0" applyNumberFormat="1" applyFont="1" applyFill="1" applyBorder="1" applyAlignment="1">
      <alignment horizontal="center" vertical="center"/>
    </xf>
    <xf numFmtId="175" fontId="2" fillId="17" borderId="20" xfId="0" applyNumberFormat="1" applyFont="1" applyFill="1" applyBorder="1" applyAlignment="1">
      <alignment horizontal="center" vertical="center"/>
    </xf>
    <xf numFmtId="175" fontId="2" fillId="17" borderId="26" xfId="0" applyNumberFormat="1" applyFont="1" applyFill="1" applyBorder="1" applyAlignment="1">
      <alignment horizontal="center" vertical="center"/>
    </xf>
    <xf numFmtId="175" fontId="2" fillId="17" borderId="24" xfId="0" applyNumberFormat="1" applyFont="1" applyFill="1" applyBorder="1" applyAlignment="1">
      <alignment horizontal="center" vertical="center"/>
    </xf>
    <xf numFmtId="175" fontId="2" fillId="18" borderId="2" xfId="0" applyNumberFormat="1" applyFont="1" applyFill="1" applyBorder="1" applyAlignment="1">
      <alignment horizontal="center" vertical="center"/>
    </xf>
    <xf numFmtId="175" fontId="2" fillId="18" borderId="20" xfId="0" applyNumberFormat="1" applyFont="1" applyFill="1" applyBorder="1" applyAlignment="1">
      <alignment horizontal="center" vertical="center"/>
    </xf>
    <xf numFmtId="175" fontId="2" fillId="18" borderId="26" xfId="0" applyNumberFormat="1" applyFont="1" applyFill="1" applyBorder="1" applyAlignment="1">
      <alignment horizontal="center" vertical="center"/>
    </xf>
    <xf numFmtId="175" fontId="2" fillId="18" borderId="24" xfId="0" applyNumberFormat="1" applyFont="1" applyFill="1" applyBorder="1" applyAlignment="1">
      <alignment horizontal="center" vertical="center"/>
    </xf>
    <xf numFmtId="180" fontId="2" fillId="16" borderId="2" xfId="0" applyNumberFormat="1" applyFont="1" applyFill="1" applyBorder="1" applyAlignment="1">
      <alignment horizontal="center" vertical="center"/>
    </xf>
    <xf numFmtId="180" fontId="2" fillId="16" borderId="20" xfId="0" applyNumberFormat="1" applyFont="1" applyFill="1" applyBorder="1" applyAlignment="1">
      <alignment horizontal="center" vertical="center"/>
    </xf>
    <xf numFmtId="180" fontId="2" fillId="16" borderId="26" xfId="0" applyNumberFormat="1" applyFont="1" applyFill="1" applyBorder="1" applyAlignment="1">
      <alignment horizontal="center" vertical="center"/>
    </xf>
    <xf numFmtId="180" fontId="2" fillId="16" borderId="24" xfId="0" applyNumberFormat="1" applyFont="1" applyFill="1" applyBorder="1" applyAlignment="1">
      <alignment horizontal="center" vertical="center"/>
    </xf>
    <xf numFmtId="0" fontId="3" fillId="0" borderId="0" xfId="0" applyFont="1" applyFill="1" applyBorder="1" applyAlignment="1">
      <alignment horizontal="center" vertical="center"/>
    </xf>
    <xf numFmtId="0" fontId="2" fillId="5" borderId="29" xfId="0" applyFont="1" applyFill="1" applyBorder="1" applyAlignment="1" applyProtection="1">
      <alignment horizontal="center" vertical="center"/>
      <protection locked="0"/>
    </xf>
    <xf numFmtId="49" fontId="2" fillId="3" borderId="8" xfId="0" applyNumberFormat="1" applyFont="1" applyFill="1" applyBorder="1" applyAlignment="1" applyProtection="1">
      <alignment horizontal="left" vertical="top" indent="1"/>
    </xf>
    <xf numFmtId="175" fontId="36" fillId="19" borderId="30" xfId="0" applyNumberFormat="1" applyFont="1" applyFill="1" applyBorder="1" applyAlignment="1" applyProtection="1">
      <alignment horizontal="center" vertical="center"/>
      <protection locked="0"/>
    </xf>
    <xf numFmtId="180" fontId="36" fillId="19" borderId="30" xfId="0" applyNumberFormat="1" applyFont="1" applyFill="1" applyBorder="1" applyAlignment="1" applyProtection="1">
      <alignment horizontal="center" vertical="center"/>
      <protection locked="0"/>
    </xf>
    <xf numFmtId="182" fontId="36" fillId="19" borderId="31" xfId="0" applyNumberFormat="1" applyFont="1" applyFill="1" applyBorder="1" applyAlignment="1" applyProtection="1">
      <alignment horizontal="center" vertical="center"/>
      <protection locked="0"/>
    </xf>
    <xf numFmtId="181" fontId="36" fillId="19" borderId="30" xfId="0" applyNumberFormat="1" applyFont="1" applyFill="1" applyBorder="1" applyAlignment="1" applyProtection="1">
      <alignment horizontal="center" vertical="center"/>
      <protection locked="0"/>
    </xf>
    <xf numFmtId="0" fontId="2" fillId="0" borderId="32" xfId="0" applyFont="1" applyBorder="1" applyProtection="1">
      <alignment vertical="center"/>
    </xf>
    <xf numFmtId="0" fontId="2" fillId="0" borderId="0" xfId="0" applyFont="1" applyBorder="1" applyProtection="1">
      <alignment vertical="center"/>
    </xf>
    <xf numFmtId="175" fontId="36" fillId="6" borderId="33" xfId="0" applyNumberFormat="1" applyFont="1" applyFill="1" applyBorder="1" applyAlignment="1" applyProtection="1">
      <alignment horizontal="center" vertical="center"/>
      <protection locked="0"/>
    </xf>
    <xf numFmtId="180" fontId="36" fillId="6" borderId="33" xfId="0" applyNumberFormat="1" applyFont="1" applyFill="1" applyBorder="1" applyAlignment="1" applyProtection="1">
      <alignment horizontal="center" vertical="center"/>
      <protection locked="0"/>
    </xf>
    <xf numFmtId="9" fontId="36" fillId="6" borderId="34" xfId="0" applyNumberFormat="1" applyFont="1" applyFill="1" applyBorder="1" applyAlignment="1" applyProtection="1">
      <alignment horizontal="center" vertical="center"/>
      <protection locked="0"/>
    </xf>
    <xf numFmtId="182" fontId="37" fillId="6" borderId="33" xfId="0" applyNumberFormat="1" applyFont="1" applyFill="1" applyBorder="1" applyAlignment="1" applyProtection="1">
      <alignment horizontal="center" vertical="center"/>
      <protection locked="0"/>
    </xf>
    <xf numFmtId="0" fontId="2" fillId="0" borderId="35" xfId="0" applyNumberFormat="1" applyFont="1" applyFill="1" applyBorder="1" applyAlignment="1" applyProtection="1">
      <alignment vertical="center"/>
    </xf>
    <xf numFmtId="49" fontId="17" fillId="20" borderId="30" xfId="0" applyNumberFormat="1" applyFont="1" applyFill="1" applyBorder="1" applyAlignment="1" applyProtection="1">
      <alignment horizontal="center" vertical="center" shrinkToFit="1"/>
      <protection locked="0"/>
    </xf>
    <xf numFmtId="49" fontId="18" fillId="5" borderId="30" xfId="0" applyNumberFormat="1" applyFont="1" applyFill="1" applyBorder="1" applyAlignment="1" applyProtection="1">
      <alignment horizontal="center" vertical="center" shrinkToFit="1"/>
      <protection locked="0"/>
    </xf>
    <xf numFmtId="0" fontId="2" fillId="0" borderId="0" xfId="0" applyFont="1" applyFill="1" applyBorder="1" applyProtection="1">
      <alignment vertical="center"/>
    </xf>
    <xf numFmtId="49" fontId="0" fillId="0" borderId="34" xfId="0" applyNumberFormat="1" applyFill="1" applyBorder="1" applyProtection="1">
      <alignment vertical="center"/>
      <protection locked="0"/>
    </xf>
    <xf numFmtId="49" fontId="17" fillId="21" borderId="30" xfId="0" applyNumberFormat="1" applyFont="1" applyFill="1" applyBorder="1" applyAlignment="1" applyProtection="1">
      <alignment horizontal="center" vertical="center" shrinkToFit="1"/>
      <protection locked="0"/>
    </xf>
    <xf numFmtId="184" fontId="43" fillId="22" borderId="36" xfId="0" applyNumberFormat="1" applyFont="1" applyFill="1" applyBorder="1" applyAlignment="1" applyProtection="1">
      <alignment horizontal="center" vertical="center" shrinkToFit="1"/>
      <protection locked="0"/>
    </xf>
    <xf numFmtId="49" fontId="45" fillId="14" borderId="30" xfId="0" applyNumberFormat="1" applyFont="1" applyFill="1" applyBorder="1" applyAlignment="1" applyProtection="1">
      <alignment horizontal="center" vertical="center" shrinkToFit="1"/>
      <protection locked="0"/>
    </xf>
    <xf numFmtId="0" fontId="20" fillId="11" borderId="30" xfId="0" applyFont="1" applyFill="1" applyBorder="1" applyAlignment="1" applyProtection="1">
      <alignment horizontal="center" vertical="center" shrinkToFit="1"/>
      <protection locked="0"/>
    </xf>
    <xf numFmtId="0" fontId="20" fillId="11" borderId="30" xfId="0" applyFont="1" applyFill="1" applyBorder="1" applyAlignment="1" applyProtection="1">
      <alignment horizontal="left" vertical="center" shrinkToFit="1"/>
      <protection locked="0"/>
    </xf>
    <xf numFmtId="169" fontId="20" fillId="4" borderId="30" xfId="0" applyNumberFormat="1" applyFont="1" applyFill="1" applyBorder="1" applyAlignment="1" applyProtection="1">
      <alignment horizontal="center" vertical="center" shrinkToFit="1"/>
      <protection locked="0"/>
    </xf>
    <xf numFmtId="0" fontId="35" fillId="23" borderId="37" xfId="0" applyFont="1" applyFill="1" applyBorder="1" applyAlignment="1" applyProtection="1">
      <alignment horizontal="center" vertical="center"/>
      <protection locked="0"/>
    </xf>
    <xf numFmtId="49" fontId="35" fillId="24" borderId="31" xfId="0" applyNumberFormat="1" applyFont="1" applyFill="1" applyBorder="1" applyAlignment="1" applyProtection="1">
      <alignment horizontal="center" vertical="center"/>
      <protection locked="0"/>
    </xf>
    <xf numFmtId="0" fontId="33" fillId="12" borderId="30" xfId="0" applyFont="1" applyFill="1" applyBorder="1" applyAlignment="1" applyProtection="1">
      <alignment horizontal="left" vertical="center"/>
      <protection locked="0"/>
    </xf>
    <xf numFmtId="0" fontId="34" fillId="21" borderId="30" xfId="0" applyFont="1" applyFill="1" applyBorder="1" applyAlignment="1" applyProtection="1">
      <alignment horizontal="center" vertical="center" shrinkToFit="1"/>
      <protection locked="0"/>
    </xf>
    <xf numFmtId="0" fontId="35" fillId="25" borderId="30" xfId="0" applyFont="1" applyFill="1" applyBorder="1" applyAlignment="1" applyProtection="1">
      <alignment horizontal="left" vertical="center" shrinkToFit="1"/>
      <protection locked="0"/>
    </xf>
    <xf numFmtId="169" fontId="36" fillId="6" borderId="30" xfId="0" applyNumberFormat="1" applyFont="1" applyFill="1" applyBorder="1" applyAlignment="1" applyProtection="1">
      <alignment horizontal="center" vertical="center" shrinkToFit="1"/>
      <protection locked="0"/>
    </xf>
    <xf numFmtId="0" fontId="2" fillId="26" borderId="38" xfId="0" applyFont="1" applyFill="1" applyBorder="1" applyAlignment="1" applyProtection="1">
      <alignment vertical="center" shrinkToFit="1"/>
      <protection locked="0"/>
    </xf>
    <xf numFmtId="176" fontId="18" fillId="13" borderId="36" xfId="0" applyNumberFormat="1" applyFont="1" applyFill="1" applyBorder="1" applyAlignment="1" applyProtection="1">
      <alignment horizontal="center" vertical="center" shrinkToFit="1"/>
      <protection locked="0"/>
    </xf>
    <xf numFmtId="49" fontId="19" fillId="20" borderId="30" xfId="0" applyNumberFormat="1" applyFont="1" applyFill="1" applyBorder="1" applyAlignment="1" applyProtection="1">
      <alignment horizontal="center" vertical="center" shrinkToFit="1"/>
      <protection locked="0"/>
    </xf>
    <xf numFmtId="176" fontId="43" fillId="22" borderId="36" xfId="0" applyNumberFormat="1" applyFont="1" applyFill="1" applyBorder="1" applyAlignment="1" applyProtection="1">
      <alignment horizontal="center" vertical="center" shrinkToFit="1"/>
      <protection locked="0"/>
    </xf>
    <xf numFmtId="49" fontId="47" fillId="21" borderId="30" xfId="0" applyNumberFormat="1" applyFont="1" applyFill="1" applyBorder="1" applyAlignment="1" applyProtection="1">
      <alignment horizontal="center" vertical="center" shrinkToFit="1"/>
      <protection locked="0"/>
    </xf>
    <xf numFmtId="49" fontId="46" fillId="21" borderId="30" xfId="0" applyNumberFormat="1" applyFont="1" applyFill="1" applyBorder="1" applyAlignment="1" applyProtection="1">
      <alignment horizontal="center" vertical="center" shrinkToFit="1"/>
      <protection locked="0"/>
    </xf>
    <xf numFmtId="173" fontId="42" fillId="22" borderId="36" xfId="0" applyNumberFormat="1" applyFont="1" applyFill="1" applyBorder="1" applyAlignment="1" applyProtection="1">
      <alignment horizontal="center" vertical="center"/>
      <protection locked="0"/>
    </xf>
    <xf numFmtId="174" fontId="44" fillId="14" borderId="30" xfId="0" applyNumberFormat="1" applyFont="1" applyFill="1" applyBorder="1" applyAlignment="1" applyProtection="1">
      <alignment horizontal="center" vertical="center"/>
      <protection locked="0"/>
    </xf>
    <xf numFmtId="0" fontId="25" fillId="4" borderId="30" xfId="0" applyFont="1" applyFill="1" applyBorder="1" applyAlignment="1" applyProtection="1">
      <alignment horizontal="center" vertical="center" shrinkToFit="1"/>
      <protection locked="0"/>
    </xf>
    <xf numFmtId="0" fontId="28" fillId="5" borderId="30" xfId="0" applyFont="1" applyFill="1" applyBorder="1" applyAlignment="1" applyProtection="1">
      <alignment horizontal="center" vertical="center" shrinkToFit="1"/>
      <protection locked="0"/>
    </xf>
    <xf numFmtId="0" fontId="23" fillId="9" borderId="30" xfId="0" applyFont="1" applyFill="1" applyBorder="1" applyAlignment="1" applyProtection="1">
      <alignment horizontal="center" vertical="center" shrinkToFit="1"/>
      <protection locked="0"/>
    </xf>
    <xf numFmtId="0" fontId="22" fillId="27" borderId="30" xfId="0" applyFont="1" applyFill="1" applyBorder="1" applyAlignment="1" applyProtection="1">
      <alignment horizontal="center" vertical="center" shrinkToFit="1"/>
      <protection locked="0"/>
    </xf>
    <xf numFmtId="0" fontId="21" fillId="28" borderId="30" xfId="0" applyFont="1" applyFill="1" applyBorder="1" applyAlignment="1" applyProtection="1">
      <alignment horizontal="center" vertical="center" shrinkToFit="1"/>
      <protection locked="0"/>
    </xf>
    <xf numFmtId="0" fontId="12" fillId="29" borderId="30" xfId="0" applyFont="1" applyFill="1" applyBorder="1" applyAlignment="1" applyProtection="1">
      <alignment horizontal="center" vertical="center" shrinkToFit="1"/>
      <protection locked="0"/>
    </xf>
    <xf numFmtId="0" fontId="24" fillId="30" borderId="39" xfId="0" applyFont="1" applyFill="1" applyBorder="1" applyAlignment="1" applyProtection="1">
      <alignment horizontal="center" vertical="center" shrinkToFit="1"/>
      <protection locked="0"/>
    </xf>
    <xf numFmtId="0" fontId="25" fillId="25" borderId="30" xfId="0" applyFont="1" applyFill="1" applyBorder="1" applyAlignment="1" applyProtection="1">
      <alignment horizontal="center" vertical="center" shrinkToFit="1"/>
      <protection locked="0"/>
    </xf>
    <xf numFmtId="0" fontId="28" fillId="31" borderId="30" xfId="0" applyFont="1" applyFill="1" applyBorder="1" applyAlignment="1" applyProtection="1">
      <alignment horizontal="center" vertical="center" shrinkToFit="1"/>
      <protection locked="0"/>
    </xf>
    <xf numFmtId="0" fontId="40" fillId="31" borderId="30" xfId="0" applyFont="1" applyFill="1" applyBorder="1" applyAlignment="1" applyProtection="1">
      <alignment horizontal="center" vertical="center" shrinkToFit="1"/>
      <protection locked="0"/>
    </xf>
    <xf numFmtId="0" fontId="25" fillId="32" borderId="30" xfId="0" applyFont="1" applyFill="1" applyBorder="1" applyAlignment="1" applyProtection="1">
      <alignment horizontal="center" vertical="center" shrinkToFit="1"/>
      <protection locked="0"/>
    </xf>
    <xf numFmtId="0" fontId="39" fillId="33" borderId="30" xfId="0" applyFont="1" applyFill="1" applyBorder="1" applyAlignment="1" applyProtection="1">
      <alignment horizontal="center" vertical="center" shrinkToFit="1"/>
      <protection locked="0"/>
    </xf>
    <xf numFmtId="0" fontId="38" fillId="10" borderId="30" xfId="0" applyFont="1" applyFill="1" applyBorder="1" applyAlignment="1" applyProtection="1">
      <alignment horizontal="center" vertical="center" shrinkToFit="1"/>
      <protection locked="0"/>
    </xf>
    <xf numFmtId="0" fontId="34" fillId="25" borderId="39" xfId="0" applyFont="1" applyFill="1" applyBorder="1" applyAlignment="1" applyProtection="1">
      <alignment horizontal="center" vertical="center" shrinkToFit="1"/>
      <protection locked="0"/>
    </xf>
    <xf numFmtId="0" fontId="37" fillId="6" borderId="30" xfId="0" applyFont="1" applyFill="1" applyBorder="1" applyAlignment="1" applyProtection="1">
      <alignment horizontal="left" vertical="center"/>
      <protection locked="0"/>
    </xf>
    <xf numFmtId="0" fontId="2" fillId="34" borderId="2" xfId="0" applyNumberFormat="1" applyFont="1" applyFill="1" applyBorder="1" applyAlignment="1">
      <alignment horizontal="left" vertical="center" shrinkToFit="1"/>
    </xf>
    <xf numFmtId="0" fontId="2" fillId="34" borderId="20" xfId="0" applyNumberFormat="1" applyFont="1" applyFill="1" applyBorder="1" applyAlignment="1">
      <alignment horizontal="left" vertical="center" shrinkToFit="1"/>
    </xf>
    <xf numFmtId="0" fontId="2" fillId="34" borderId="26" xfId="0" applyNumberFormat="1" applyFont="1" applyFill="1" applyBorder="1" applyAlignment="1">
      <alignment horizontal="left" vertical="center" shrinkToFit="1"/>
    </xf>
    <xf numFmtId="0" fontId="2" fillId="34" borderId="24" xfId="0" applyNumberFormat="1" applyFont="1" applyFill="1" applyBorder="1" applyAlignment="1">
      <alignment horizontal="left" vertical="center" shrinkToFit="1"/>
    </xf>
    <xf numFmtId="175" fontId="2" fillId="26" borderId="2" xfId="0" applyNumberFormat="1" applyFont="1" applyFill="1" applyBorder="1" applyAlignment="1">
      <alignment horizontal="center" vertical="center"/>
    </xf>
    <xf numFmtId="175" fontId="2" fillId="26" borderId="20" xfId="0" applyNumberFormat="1" applyFont="1" applyFill="1" applyBorder="1" applyAlignment="1">
      <alignment horizontal="center" vertical="center"/>
    </xf>
    <xf numFmtId="175" fontId="2" fillId="26" borderId="26" xfId="0" applyNumberFormat="1" applyFont="1" applyFill="1" applyBorder="1" applyAlignment="1">
      <alignment horizontal="center" vertical="center"/>
    </xf>
    <xf numFmtId="175" fontId="2" fillId="26" borderId="24" xfId="0" applyNumberFormat="1" applyFont="1" applyFill="1" applyBorder="1" applyAlignment="1">
      <alignment horizontal="center" vertical="center"/>
    </xf>
    <xf numFmtId="0" fontId="2" fillId="0" borderId="32" xfId="0" applyFont="1" applyFill="1" applyBorder="1" applyProtection="1">
      <alignment vertical="center"/>
    </xf>
    <xf numFmtId="186" fontId="53" fillId="22" borderId="36" xfId="0" applyNumberFormat="1" applyFont="1" applyFill="1" applyBorder="1" applyAlignment="1" applyProtection="1">
      <alignment horizontal="left" vertical="center"/>
      <protection locked="0"/>
    </xf>
    <xf numFmtId="173" fontId="44" fillId="14" borderId="30" xfId="0" applyNumberFormat="1" applyFont="1" applyFill="1" applyBorder="1" applyAlignment="1" applyProtection="1">
      <alignment horizontal="left" vertical="center"/>
      <protection locked="0"/>
    </xf>
    <xf numFmtId="177" fontId="2" fillId="26" borderId="40" xfId="0" applyNumberFormat="1" applyFont="1" applyFill="1" applyBorder="1" applyAlignment="1" applyProtection="1">
      <alignment horizontal="centerContinuous" vertical="center"/>
      <protection locked="0"/>
    </xf>
    <xf numFmtId="177" fontId="2" fillId="26" borderId="41" xfId="0" applyNumberFormat="1" applyFont="1" applyFill="1" applyBorder="1" applyAlignment="1" applyProtection="1">
      <alignment horizontal="centerContinuous" vertical="center"/>
      <protection locked="0"/>
    </xf>
    <xf numFmtId="177" fontId="2" fillId="26" borderId="42" xfId="0" applyNumberFormat="1" applyFont="1" applyFill="1" applyBorder="1" applyAlignment="1" applyProtection="1">
      <alignment horizontal="centerContinuous" vertical="center"/>
      <protection locked="0"/>
    </xf>
    <xf numFmtId="0" fontId="16" fillId="8" borderId="43" xfId="0" applyFont="1" applyFill="1" applyBorder="1" applyAlignment="1" applyProtection="1">
      <alignment horizontal="center" vertical="center" shrinkToFit="1"/>
    </xf>
    <xf numFmtId="0" fontId="16" fillId="8" borderId="44" xfId="0" applyFont="1" applyFill="1" applyBorder="1" applyAlignment="1" applyProtection="1">
      <alignment horizontal="center" vertical="center" shrinkToFit="1"/>
    </xf>
    <xf numFmtId="0" fontId="16" fillId="8" borderId="45" xfId="0" applyFont="1" applyFill="1" applyBorder="1" applyAlignment="1" applyProtection="1">
      <alignment horizontal="center" vertical="center" shrinkToFit="1"/>
    </xf>
    <xf numFmtId="0" fontId="16" fillId="8" borderId="46" xfId="0" applyFont="1" applyFill="1" applyBorder="1" applyAlignment="1" applyProtection="1">
      <alignment horizontal="center" vertical="center" shrinkToFit="1"/>
    </xf>
    <xf numFmtId="0" fontId="16" fillId="8" borderId="47" xfId="0" applyFont="1" applyFill="1" applyBorder="1" applyAlignment="1" applyProtection="1">
      <alignment horizontal="center" vertical="center" shrinkToFit="1"/>
    </xf>
    <xf numFmtId="187" fontId="2" fillId="26" borderId="48" xfId="0" applyNumberFormat="1" applyFont="1" applyFill="1" applyBorder="1" applyAlignment="1" applyProtection="1">
      <alignment horizontal="centerContinuous" vertical="center" shrinkToFit="1"/>
      <protection locked="0"/>
    </xf>
    <xf numFmtId="0" fontId="2" fillId="26" borderId="48" xfId="0" applyFont="1" applyFill="1" applyBorder="1" applyAlignment="1" applyProtection="1">
      <alignment horizontal="centerContinuous" vertical="center"/>
      <protection locked="0"/>
    </xf>
    <xf numFmtId="171" fontId="2" fillId="26" borderId="48" xfId="0" applyNumberFormat="1" applyFont="1" applyFill="1" applyBorder="1" applyAlignment="1" applyProtection="1">
      <alignment horizontal="centerContinuous" vertical="center"/>
      <protection locked="0"/>
    </xf>
    <xf numFmtId="14" fontId="2" fillId="26" borderId="49" xfId="0" applyNumberFormat="1" applyFont="1" applyFill="1" applyBorder="1" applyAlignment="1" applyProtection="1">
      <alignment horizontal="centerContinuous" vertical="center" shrinkToFit="1"/>
      <protection locked="0"/>
    </xf>
    <xf numFmtId="0" fontId="16" fillId="8" borderId="50" xfId="0" applyFont="1" applyFill="1" applyBorder="1" applyAlignment="1" applyProtection="1">
      <alignment horizontal="center" vertical="center" shrinkToFit="1"/>
    </xf>
    <xf numFmtId="0" fontId="16" fillId="8" borderId="51" xfId="0" applyFont="1" applyFill="1" applyBorder="1" applyAlignment="1" applyProtection="1">
      <alignment horizontal="center" vertical="center" shrinkToFit="1"/>
    </xf>
    <xf numFmtId="0" fontId="16" fillId="8" borderId="52" xfId="0" applyFont="1" applyFill="1" applyBorder="1" applyAlignment="1" applyProtection="1">
      <alignment horizontal="center" vertical="center" shrinkToFit="1"/>
    </xf>
    <xf numFmtId="178" fontId="2" fillId="26" borderId="53" xfId="0" applyNumberFormat="1" applyFont="1" applyFill="1" applyBorder="1" applyAlignment="1" applyProtection="1">
      <alignment horizontal="center" vertical="center" shrinkToFit="1"/>
      <protection locked="0"/>
    </xf>
    <xf numFmtId="0" fontId="2" fillId="11" borderId="54" xfId="0" applyFont="1" applyFill="1" applyBorder="1" applyProtection="1">
      <alignment vertical="center"/>
    </xf>
    <xf numFmtId="0" fontId="2" fillId="11" borderId="55" xfId="0" applyFont="1" applyFill="1" applyBorder="1" applyProtection="1">
      <alignment vertical="center"/>
    </xf>
    <xf numFmtId="0" fontId="2" fillId="0" borderId="0" xfId="0" applyNumberFormat="1" applyFont="1" applyFill="1" applyBorder="1" applyAlignment="1" applyProtection="1">
      <alignment vertical="center"/>
    </xf>
    <xf numFmtId="0" fontId="2" fillId="28" borderId="56" xfId="0" applyFont="1" applyFill="1" applyBorder="1" applyProtection="1">
      <alignment vertical="center"/>
    </xf>
    <xf numFmtId="0" fontId="56" fillId="0" borderId="0" xfId="0" applyFont="1" applyAlignment="1" applyProtection="1">
      <alignment horizontal="left" vertical="center"/>
      <protection locked="0"/>
    </xf>
    <xf numFmtId="0" fontId="57" fillId="0" borderId="11" xfId="0" applyFont="1" applyFill="1" applyBorder="1" applyAlignment="1">
      <alignment vertical="center"/>
    </xf>
    <xf numFmtId="0" fontId="0" fillId="0" borderId="35" xfId="0" applyFill="1" applyBorder="1" applyAlignment="1" applyProtection="1">
      <alignment horizontal="center" vertical="center"/>
    </xf>
    <xf numFmtId="0" fontId="30" fillId="0" borderId="0" xfId="0" applyFont="1" applyBorder="1" applyProtection="1">
      <alignment vertical="center"/>
      <protection hidden="1"/>
    </xf>
    <xf numFmtId="174" fontId="2" fillId="0" borderId="35" xfId="0" applyNumberFormat="1" applyFont="1" applyFill="1" applyBorder="1" applyAlignment="1" applyProtection="1">
      <alignment horizontal="center" vertical="center"/>
    </xf>
    <xf numFmtId="49" fontId="0" fillId="0" borderId="35" xfId="0" applyNumberFormat="1" applyFill="1" applyBorder="1" applyProtection="1">
      <alignment vertical="center"/>
    </xf>
    <xf numFmtId="0" fontId="18" fillId="0" borderId="35" xfId="0" applyNumberFormat="1" applyFont="1" applyFill="1" applyBorder="1" applyAlignment="1" applyProtection="1">
      <alignment vertical="center"/>
    </xf>
    <xf numFmtId="0" fontId="18" fillId="0" borderId="0" xfId="0" applyNumberFormat="1" applyFont="1" applyFill="1" applyBorder="1" applyAlignment="1" applyProtection="1">
      <alignment vertical="center"/>
    </xf>
    <xf numFmtId="0" fontId="0" fillId="0" borderId="0" xfId="0" applyNumberFormat="1" applyFill="1" applyBorder="1" applyAlignment="1" applyProtection="1">
      <alignment vertical="center"/>
    </xf>
    <xf numFmtId="0" fontId="2" fillId="0" borderId="0" xfId="0" applyFont="1" applyFill="1" applyBorder="1" applyAlignment="1" applyProtection="1">
      <alignment horizontal="center" vertical="center"/>
    </xf>
    <xf numFmtId="0" fontId="54" fillId="26" borderId="57" xfId="0" applyFont="1" applyFill="1" applyBorder="1" applyAlignment="1" applyProtection="1">
      <alignment horizontal="center" vertical="center" shrinkToFit="1"/>
      <protection locked="0"/>
    </xf>
    <xf numFmtId="0" fontId="52" fillId="26" borderId="53" xfId="0" applyFont="1" applyFill="1" applyBorder="1" applyAlignment="1" applyProtection="1">
      <alignment horizontal="center" vertical="center" shrinkToFit="1"/>
      <protection locked="0"/>
    </xf>
    <xf numFmtId="0" fontId="54" fillId="26" borderId="58" xfId="0" applyFont="1" applyFill="1" applyBorder="1" applyAlignment="1" applyProtection="1">
      <alignment horizontal="center" vertical="center" shrinkToFit="1"/>
      <protection locked="0"/>
    </xf>
    <xf numFmtId="0" fontId="54" fillId="26" borderId="59" xfId="0" applyFont="1" applyFill="1" applyBorder="1" applyAlignment="1" applyProtection="1">
      <alignment horizontal="center" vertical="center" shrinkToFit="1"/>
      <protection locked="0"/>
    </xf>
    <xf numFmtId="0" fontId="54" fillId="26" borderId="60" xfId="0" applyFont="1" applyFill="1" applyBorder="1" applyAlignment="1" applyProtection="1">
      <alignment horizontal="center" vertical="center" shrinkToFit="1"/>
      <protection locked="0"/>
    </xf>
    <xf numFmtId="0" fontId="54" fillId="26" borderId="61" xfId="0" applyFont="1" applyFill="1" applyBorder="1" applyAlignment="1" applyProtection="1">
      <alignment horizontal="center" vertical="center" shrinkToFit="1"/>
      <protection locked="0"/>
    </xf>
    <xf numFmtId="0" fontId="54" fillId="26" borderId="62" xfId="0" applyFont="1" applyFill="1" applyBorder="1" applyAlignment="1" applyProtection="1">
      <alignment horizontal="center" vertical="center" shrinkToFit="1"/>
      <protection locked="0"/>
    </xf>
    <xf numFmtId="0" fontId="2" fillId="28" borderId="56" xfId="0" applyFont="1" applyFill="1" applyBorder="1" applyProtection="1">
      <alignment vertical="center"/>
      <protection locked="0"/>
    </xf>
    <xf numFmtId="0" fontId="2" fillId="0" borderId="0" xfId="0" applyFont="1" applyFill="1" applyProtection="1">
      <alignment vertical="center"/>
      <protection locked="0"/>
    </xf>
    <xf numFmtId="0" fontId="2" fillId="28" borderId="63" xfId="0" applyFont="1" applyFill="1" applyBorder="1" applyProtection="1">
      <alignment vertical="center"/>
    </xf>
    <xf numFmtId="0" fontId="2" fillId="0" borderId="64" xfId="0" applyFont="1" applyFill="1" applyBorder="1" applyProtection="1">
      <alignment vertical="center"/>
    </xf>
    <xf numFmtId="0" fontId="2" fillId="0" borderId="0" xfId="0" applyFont="1" applyBorder="1" applyAlignment="1" applyProtection="1">
      <alignment vertical="center"/>
    </xf>
    <xf numFmtId="0" fontId="14" fillId="0" borderId="0" xfId="0" applyFont="1" applyFill="1" applyBorder="1" applyProtection="1">
      <alignment vertical="center"/>
    </xf>
    <xf numFmtId="0" fontId="56" fillId="28" borderId="56" xfId="0" applyFont="1" applyFill="1" applyBorder="1" applyAlignment="1" applyProtection="1">
      <alignment horizontal="left" vertical="center"/>
    </xf>
    <xf numFmtId="0" fontId="2" fillId="0" borderId="0" xfId="0" applyFont="1" applyBorder="1" applyProtection="1">
      <alignment vertical="center"/>
      <protection locked="0"/>
    </xf>
    <xf numFmtId="0" fontId="2" fillId="0" borderId="0" xfId="0" applyFont="1" applyFill="1" applyBorder="1" applyProtection="1">
      <alignment vertical="center"/>
      <protection locked="0"/>
    </xf>
    <xf numFmtId="0" fontId="2" fillId="13" borderId="65" xfId="0" applyFont="1" applyFill="1" applyBorder="1" applyProtection="1">
      <alignment vertical="center"/>
    </xf>
    <xf numFmtId="0" fontId="56" fillId="13" borderId="66" xfId="0" applyFont="1" applyFill="1" applyBorder="1" applyAlignment="1" applyProtection="1">
      <alignment horizontal="left" vertical="center"/>
      <protection locked="0"/>
    </xf>
    <xf numFmtId="0" fontId="2" fillId="13" borderId="66" xfId="0" applyFont="1" applyFill="1" applyBorder="1" applyProtection="1">
      <alignment vertical="center"/>
    </xf>
    <xf numFmtId="0" fontId="2" fillId="13" borderId="66" xfId="0" applyFont="1" applyFill="1" applyBorder="1" applyProtection="1">
      <alignment vertical="center"/>
      <protection locked="0"/>
    </xf>
    <xf numFmtId="0" fontId="2" fillId="13" borderId="67" xfId="0" applyFont="1" applyFill="1" applyBorder="1" applyProtection="1">
      <alignment vertical="center"/>
    </xf>
    <xf numFmtId="0" fontId="2" fillId="0" borderId="68" xfId="0" applyFont="1" applyFill="1" applyBorder="1" applyProtection="1">
      <alignment vertical="center"/>
    </xf>
    <xf numFmtId="0" fontId="14" fillId="0" borderId="69" xfId="0" applyFont="1" applyFill="1" applyBorder="1" applyAlignment="1" applyProtection="1">
      <alignment horizontal="left" vertical="center"/>
    </xf>
    <xf numFmtId="0" fontId="2" fillId="0" borderId="69" xfId="0" applyFont="1" applyFill="1" applyBorder="1" applyProtection="1">
      <alignment vertical="center"/>
    </xf>
    <xf numFmtId="0" fontId="2" fillId="0" borderId="70" xfId="0" applyFont="1" applyFill="1" applyBorder="1" applyProtection="1">
      <alignment vertical="center"/>
    </xf>
    <xf numFmtId="0" fontId="2" fillId="0" borderId="71" xfId="0" applyFont="1" applyFill="1" applyBorder="1" applyProtection="1">
      <alignment vertical="center"/>
    </xf>
    <xf numFmtId="0" fontId="2" fillId="0" borderId="72" xfId="0" applyFont="1" applyFill="1" applyBorder="1" applyProtection="1">
      <alignment vertical="center"/>
    </xf>
    <xf numFmtId="0" fontId="2" fillId="0" borderId="72" xfId="0" applyFont="1" applyBorder="1" applyProtection="1">
      <alignment vertical="center"/>
    </xf>
    <xf numFmtId="0" fontId="2" fillId="0" borderId="73" xfId="0" applyFont="1" applyFill="1" applyBorder="1" applyProtection="1">
      <alignment vertical="center"/>
    </xf>
    <xf numFmtId="0" fontId="2" fillId="0" borderId="74" xfId="0" applyFont="1" applyBorder="1" applyProtection="1">
      <alignment vertical="center"/>
    </xf>
    <xf numFmtId="0" fontId="2" fillId="0" borderId="74" xfId="0" applyFont="1" applyFill="1" applyBorder="1" applyProtection="1">
      <alignment vertical="center"/>
    </xf>
    <xf numFmtId="0" fontId="2" fillId="0" borderId="75" xfId="0" applyFont="1" applyFill="1" applyBorder="1" applyProtection="1">
      <alignment vertical="center"/>
    </xf>
    <xf numFmtId="0" fontId="2" fillId="0" borderId="76" xfId="0" applyFont="1" applyFill="1" applyBorder="1" applyProtection="1">
      <alignment vertical="center"/>
    </xf>
    <xf numFmtId="0" fontId="2" fillId="0" borderId="75" xfId="0" applyFont="1" applyBorder="1" applyProtection="1">
      <alignment vertical="center"/>
    </xf>
    <xf numFmtId="0" fontId="2" fillId="0" borderId="76" xfId="0" applyFont="1" applyBorder="1" applyProtection="1">
      <alignment vertical="center"/>
    </xf>
    <xf numFmtId="0" fontId="2" fillId="8" borderId="77" xfId="0" applyFont="1" applyFill="1" applyBorder="1" applyProtection="1">
      <alignment vertical="center"/>
    </xf>
    <xf numFmtId="0" fontId="14" fillId="8" borderId="78" xfId="0" applyFont="1" applyFill="1" applyBorder="1" applyProtection="1">
      <alignment vertical="center"/>
      <protection locked="0"/>
    </xf>
    <xf numFmtId="0" fontId="2" fillId="8" borderId="78" xfId="0" applyFont="1" applyFill="1" applyBorder="1" applyProtection="1">
      <alignment vertical="center"/>
    </xf>
    <xf numFmtId="0" fontId="2" fillId="8" borderId="78" xfId="0" applyFont="1" applyFill="1" applyBorder="1" applyProtection="1">
      <alignment vertical="center"/>
      <protection locked="0"/>
    </xf>
    <xf numFmtId="0" fontId="2" fillId="8" borderId="79" xfId="0" applyFont="1" applyFill="1" applyBorder="1" applyProtection="1">
      <alignment vertical="center"/>
    </xf>
    <xf numFmtId="0" fontId="2" fillId="8" borderId="80" xfId="0" applyFont="1" applyFill="1" applyBorder="1" applyProtection="1">
      <alignment vertical="center"/>
    </xf>
    <xf numFmtId="0" fontId="2" fillId="8" borderId="81" xfId="0" applyFont="1" applyFill="1" applyBorder="1" applyProtection="1">
      <alignment vertical="center"/>
      <protection locked="0"/>
    </xf>
    <xf numFmtId="0" fontId="2" fillId="8" borderId="81" xfId="0" applyFont="1" applyFill="1" applyBorder="1" applyProtection="1">
      <alignment vertical="center"/>
    </xf>
    <xf numFmtId="0" fontId="2" fillId="8" borderId="82" xfId="0" applyFont="1" applyFill="1" applyBorder="1" applyProtection="1">
      <alignment vertical="center"/>
    </xf>
    <xf numFmtId="0" fontId="2" fillId="0" borderId="77" xfId="0" applyFont="1" applyFill="1" applyBorder="1" applyProtection="1">
      <alignment vertical="center"/>
    </xf>
    <xf numFmtId="0" fontId="2" fillId="0" borderId="78" xfId="0" applyFont="1" applyBorder="1" applyProtection="1">
      <alignment vertical="center"/>
    </xf>
    <xf numFmtId="0" fontId="2" fillId="0" borderId="78" xfId="0" applyFont="1" applyFill="1" applyBorder="1" applyProtection="1">
      <alignment vertical="center"/>
    </xf>
    <xf numFmtId="0" fontId="2" fillId="0" borderId="79" xfId="0" applyFont="1" applyFill="1" applyBorder="1" applyProtection="1">
      <alignment vertical="center"/>
    </xf>
    <xf numFmtId="0" fontId="2" fillId="0" borderId="80" xfId="0" applyFont="1" applyBorder="1" applyProtection="1">
      <alignment vertical="center"/>
    </xf>
    <xf numFmtId="0" fontId="2" fillId="0" borderId="81" xfId="0" applyFont="1" applyBorder="1" applyProtection="1">
      <alignment vertical="center"/>
    </xf>
    <xf numFmtId="0" fontId="2" fillId="0" borderId="82" xfId="0" applyFont="1" applyBorder="1" applyProtection="1">
      <alignment vertical="center"/>
    </xf>
    <xf numFmtId="0" fontId="2" fillId="26" borderId="83" xfId="0" applyFont="1" applyFill="1" applyBorder="1" applyAlignment="1" applyProtection="1">
      <alignment horizontal="center" vertical="center"/>
      <protection locked="0"/>
    </xf>
    <xf numFmtId="0" fontId="2" fillId="0" borderId="64" xfId="0" applyFont="1" applyFill="1" applyBorder="1" applyProtection="1">
      <alignment vertical="center"/>
      <protection locked="0"/>
    </xf>
    <xf numFmtId="168" fontId="49" fillId="0" borderId="0" xfId="0" applyNumberFormat="1" applyFont="1" applyFill="1" applyBorder="1" applyAlignment="1" applyProtection="1">
      <alignment vertical="center"/>
      <protection locked="0"/>
    </xf>
    <xf numFmtId="0" fontId="2" fillId="4" borderId="84" xfId="0" applyFont="1" applyFill="1" applyBorder="1" applyProtection="1">
      <alignment vertical="center"/>
    </xf>
    <xf numFmtId="0" fontId="2" fillId="4" borderId="85" xfId="0" applyFont="1" applyFill="1" applyBorder="1" applyProtection="1">
      <alignment vertical="center"/>
    </xf>
    <xf numFmtId="0" fontId="58" fillId="0" borderId="0" xfId="0" applyFont="1" applyBorder="1" applyAlignment="1" applyProtection="1">
      <alignment horizontal="right" vertical="center"/>
      <protection locked="0"/>
    </xf>
    <xf numFmtId="0" fontId="2" fillId="4" borderId="35" xfId="0" applyFont="1" applyFill="1" applyBorder="1" applyProtection="1">
      <alignment vertical="center"/>
    </xf>
    <xf numFmtId="0" fontId="2" fillId="4" borderId="86" xfId="0" applyFont="1" applyFill="1" applyBorder="1" applyProtection="1">
      <alignment vertical="center"/>
    </xf>
    <xf numFmtId="0" fontId="1" fillId="3" borderId="7" xfId="0" applyFont="1" applyFill="1" applyBorder="1">
      <alignment vertical="center"/>
    </xf>
    <xf numFmtId="49" fontId="1" fillId="0" borderId="0" xfId="0" applyNumberFormat="1" applyFont="1" applyFill="1" applyBorder="1" applyAlignment="1">
      <alignment horizontal="center" vertical="center" shrinkToFit="1"/>
    </xf>
    <xf numFmtId="0" fontId="2" fillId="0" borderId="87" xfId="0" applyFont="1" applyBorder="1" applyProtection="1">
      <alignment vertical="center"/>
    </xf>
    <xf numFmtId="0" fontId="2" fillId="28" borderId="88" xfId="0" applyFont="1" applyFill="1" applyBorder="1" applyProtection="1">
      <alignment vertical="center"/>
    </xf>
    <xf numFmtId="49" fontId="19" fillId="3" borderId="30" xfId="0" applyNumberFormat="1" applyFont="1" applyFill="1" applyBorder="1" applyAlignment="1" applyProtection="1">
      <alignment horizontal="center" vertical="center" shrinkToFit="1"/>
      <protection locked="0"/>
    </xf>
    <xf numFmtId="0" fontId="52" fillId="26" borderId="57" xfId="0" applyFont="1" applyFill="1" applyBorder="1" applyAlignment="1" applyProtection="1">
      <alignment horizontal="center" vertical="center" shrinkToFit="1"/>
      <protection locked="0"/>
    </xf>
    <xf numFmtId="0" fontId="25" fillId="4" borderId="7" xfId="0" applyNumberFormat="1" applyFont="1" applyFill="1" applyBorder="1" applyAlignment="1">
      <alignment horizontal="center" vertical="center" shrinkToFit="1"/>
    </xf>
    <xf numFmtId="0" fontId="25" fillId="4" borderId="21" xfId="0" applyNumberFormat="1" applyFont="1" applyFill="1" applyBorder="1" applyAlignment="1">
      <alignment horizontal="center" vertical="center" shrinkToFit="1"/>
    </xf>
    <xf numFmtId="0" fontId="55" fillId="3" borderId="89" xfId="0" applyFont="1" applyFill="1" applyBorder="1" applyAlignment="1" applyProtection="1">
      <alignment horizontal="centerContinuous" vertical="center" shrinkToFit="1"/>
    </xf>
    <xf numFmtId="0" fontId="0" fillId="3" borderId="90" xfId="0" applyFill="1" applyBorder="1" applyAlignment="1">
      <alignment horizontal="centerContinuous" vertical="center" shrinkToFit="1"/>
    </xf>
    <xf numFmtId="0" fontId="0" fillId="3" borderId="91" xfId="0" applyFill="1" applyBorder="1" applyAlignment="1">
      <alignment horizontal="centerContinuous" vertical="center" shrinkToFit="1"/>
    </xf>
    <xf numFmtId="0" fontId="55" fillId="3" borderId="92" xfId="0" applyFont="1" applyFill="1" applyBorder="1" applyAlignment="1" applyProtection="1">
      <alignment horizontal="center" vertical="center" shrinkToFit="1"/>
    </xf>
    <xf numFmtId="0" fontId="55" fillId="3" borderId="93" xfId="0" applyFont="1" applyFill="1" applyBorder="1" applyAlignment="1" applyProtection="1">
      <alignment horizontal="centerContinuous" vertical="center" shrinkToFit="1"/>
    </xf>
    <xf numFmtId="0" fontId="16" fillId="3" borderId="91" xfId="0" applyFont="1" applyFill="1" applyBorder="1" applyAlignment="1" applyProtection="1">
      <alignment horizontal="centerContinuous" vertical="center" shrinkToFit="1"/>
    </xf>
    <xf numFmtId="0" fontId="55" fillId="3" borderId="94" xfId="0" applyFont="1" applyFill="1" applyBorder="1" applyAlignment="1" applyProtection="1">
      <alignment horizontal="centerContinuous" vertical="center" shrinkToFit="1"/>
    </xf>
    <xf numFmtId="0" fontId="16" fillId="3" borderId="83" xfId="0" applyFont="1" applyFill="1" applyBorder="1" applyAlignment="1" applyProtection="1">
      <alignment horizontal="centerContinuous" vertical="center" shrinkToFit="1"/>
    </xf>
    <xf numFmtId="0" fontId="2" fillId="3" borderId="91" xfId="0" applyFont="1" applyFill="1" applyBorder="1" applyAlignment="1" applyProtection="1">
      <alignment horizontal="centerContinuous" vertical="center" shrinkToFit="1"/>
    </xf>
    <xf numFmtId="0" fontId="16" fillId="8" borderId="95" xfId="0" applyFont="1" applyFill="1" applyBorder="1" applyAlignment="1" applyProtection="1">
      <alignment horizontal="center" vertical="center" shrinkToFit="1"/>
    </xf>
    <xf numFmtId="0" fontId="16" fillId="8" borderId="96" xfId="0" applyFont="1" applyFill="1" applyBorder="1" applyAlignment="1" applyProtection="1">
      <alignment horizontal="center" vertical="center" shrinkToFit="1"/>
    </xf>
    <xf numFmtId="0" fontId="16" fillId="8" borderId="97" xfId="0" applyFont="1" applyFill="1" applyBorder="1" applyAlignment="1" applyProtection="1">
      <alignment horizontal="center" vertical="center" shrinkToFit="1"/>
    </xf>
    <xf numFmtId="0" fontId="16" fillId="8" borderId="98" xfId="0" applyFont="1" applyFill="1" applyBorder="1" applyAlignment="1" applyProtection="1">
      <alignment horizontal="center" vertical="center" shrinkToFit="1"/>
    </xf>
    <xf numFmtId="0" fontId="2" fillId="8" borderId="96" xfId="0" applyFont="1" applyFill="1" applyBorder="1" applyAlignment="1" applyProtection="1">
      <alignment horizontal="center" vertical="center" shrinkToFit="1"/>
    </xf>
    <xf numFmtId="0" fontId="2" fillId="8" borderId="97" xfId="0" applyFont="1" applyFill="1" applyBorder="1" applyAlignment="1" applyProtection="1">
      <alignment horizontal="center" vertical="center" shrinkToFit="1"/>
    </xf>
    <xf numFmtId="0" fontId="2" fillId="8" borderId="98" xfId="0" applyFont="1" applyFill="1" applyBorder="1" applyAlignment="1" applyProtection="1">
      <alignment horizontal="center" vertical="center" shrinkToFit="1"/>
    </xf>
    <xf numFmtId="0" fontId="16" fillId="8" borderId="99" xfId="0" applyFont="1" applyFill="1" applyBorder="1" applyAlignment="1" applyProtection="1">
      <alignment horizontal="center" vertical="center" shrinkToFit="1"/>
    </xf>
    <xf numFmtId="0" fontId="15" fillId="0" borderId="0" xfId="0" applyFont="1" applyFill="1" applyBorder="1" applyAlignment="1" applyProtection="1">
      <alignment vertical="center" shrinkToFit="1"/>
    </xf>
    <xf numFmtId="0" fontId="16" fillId="3" borderId="100" xfId="0" applyFont="1" applyFill="1" applyBorder="1" applyAlignment="1" applyProtection="1">
      <alignment horizontal="center" vertical="center" shrinkToFit="1"/>
    </xf>
    <xf numFmtId="0" fontId="2" fillId="8" borderId="101" xfId="0" applyFont="1" applyFill="1" applyBorder="1" applyAlignment="1" applyProtection="1">
      <alignment vertical="center" shrinkToFit="1"/>
    </xf>
    <xf numFmtId="0" fontId="16" fillId="8" borderId="102" xfId="0" applyFont="1" applyFill="1" applyBorder="1" applyAlignment="1" applyProtection="1">
      <alignment horizontal="center" vertical="center" shrinkToFit="1"/>
    </xf>
    <xf numFmtId="172" fontId="16" fillId="8" borderId="103" xfId="0" applyNumberFormat="1" applyFont="1" applyFill="1" applyBorder="1" applyAlignment="1" applyProtection="1">
      <alignment horizontal="center" vertical="center" shrinkToFit="1"/>
    </xf>
    <xf numFmtId="172" fontId="16" fillId="8" borderId="104" xfId="0" applyNumberFormat="1" applyFont="1" applyFill="1" applyBorder="1" applyAlignment="1" applyProtection="1">
      <alignment horizontal="center" vertical="center" shrinkToFit="1"/>
    </xf>
    <xf numFmtId="0" fontId="16" fillId="8" borderId="104" xfId="0" applyFont="1" applyFill="1" applyBorder="1" applyAlignment="1" applyProtection="1">
      <alignment horizontal="center" vertical="center" shrinkToFit="1"/>
    </xf>
    <xf numFmtId="0" fontId="16" fillId="8" borderId="103" xfId="0" applyFont="1" applyFill="1" applyBorder="1" applyAlignment="1" applyProtection="1">
      <alignment horizontal="center" vertical="center" shrinkToFit="1"/>
    </xf>
    <xf numFmtId="172" fontId="16" fillId="8" borderId="105" xfId="0" applyNumberFormat="1" applyFont="1" applyFill="1" applyBorder="1" applyAlignment="1" applyProtection="1">
      <alignment horizontal="center" vertical="center" shrinkToFit="1"/>
    </xf>
    <xf numFmtId="0" fontId="16" fillId="8" borderId="106" xfId="0" applyFont="1" applyFill="1" applyBorder="1" applyAlignment="1" applyProtection="1">
      <alignment horizontal="center" vertical="center" shrinkToFit="1"/>
    </xf>
    <xf numFmtId="172" fontId="16" fillId="8" borderId="99" xfId="0" applyNumberFormat="1" applyFont="1" applyFill="1" applyBorder="1" applyAlignment="1" applyProtection="1">
      <alignment horizontal="center" vertical="center" shrinkToFit="1"/>
    </xf>
    <xf numFmtId="0" fontId="16" fillId="8" borderId="107" xfId="0" applyFont="1" applyFill="1" applyBorder="1" applyAlignment="1" applyProtection="1">
      <alignment horizontal="center" vertical="center" shrinkToFit="1"/>
    </xf>
    <xf numFmtId="0" fontId="16" fillId="8" borderId="105" xfId="0" applyFont="1" applyFill="1" applyBorder="1" applyAlignment="1" applyProtection="1">
      <alignment horizontal="center" vertical="center" shrinkToFit="1"/>
    </xf>
    <xf numFmtId="0" fontId="16" fillId="8" borderId="108" xfId="0" applyFont="1" applyFill="1" applyBorder="1" applyAlignment="1" applyProtection="1">
      <alignment horizontal="center" vertical="center" shrinkToFit="1"/>
    </xf>
    <xf numFmtId="0" fontId="2" fillId="3" borderId="7" xfId="0" applyFont="1" applyFill="1" applyBorder="1" applyAlignment="1">
      <alignment horizontal="centerContinuous" vertical="center" shrinkToFit="1"/>
    </xf>
    <xf numFmtId="0" fontId="2" fillId="3" borderId="109" xfId="0" applyFont="1" applyFill="1" applyBorder="1" applyAlignment="1">
      <alignment horizontal="centerContinuous" vertical="center" shrinkToFit="1"/>
    </xf>
    <xf numFmtId="0" fontId="2" fillId="3" borderId="6" xfId="0" applyFont="1" applyFill="1" applyBorder="1" applyAlignment="1">
      <alignment horizontal="centerContinuous" vertical="center" shrinkToFit="1"/>
    </xf>
    <xf numFmtId="0" fontId="2" fillId="3" borderId="110" xfId="0" applyFont="1" applyFill="1" applyBorder="1" applyAlignment="1">
      <alignment horizontal="center" vertical="center" shrinkToFit="1"/>
    </xf>
    <xf numFmtId="49" fontId="2" fillId="3" borderId="109" xfId="0" applyNumberFormat="1" applyFont="1" applyFill="1" applyBorder="1" applyAlignment="1" applyProtection="1">
      <alignment horizontal="center" vertical="center" shrinkToFit="1"/>
    </xf>
    <xf numFmtId="49" fontId="2" fillId="3" borderId="19" xfId="0" applyNumberFormat="1" applyFont="1" applyFill="1" applyBorder="1" applyAlignment="1" applyProtection="1">
      <alignment horizontal="center" vertical="center" shrinkToFit="1"/>
    </xf>
    <xf numFmtId="0" fontId="2" fillId="3" borderId="19" xfId="0" applyFont="1" applyFill="1" applyBorder="1" applyAlignment="1">
      <alignment horizontal="center" vertical="center" shrinkToFit="1"/>
    </xf>
    <xf numFmtId="49" fontId="16" fillId="8" borderId="97" xfId="0" applyNumberFormat="1" applyFont="1" applyFill="1" applyBorder="1" applyAlignment="1" applyProtection="1">
      <alignment horizontal="center" vertical="center" shrinkToFit="1"/>
    </xf>
    <xf numFmtId="49" fontId="16" fillId="8" borderId="98" xfId="0" applyNumberFormat="1" applyFont="1" applyFill="1" applyBorder="1" applyAlignment="1" applyProtection="1">
      <alignment horizontal="center" vertical="center" shrinkToFit="1"/>
    </xf>
    <xf numFmtId="188" fontId="18" fillId="13" borderId="36" xfId="0" applyNumberFormat="1" applyFont="1" applyFill="1" applyBorder="1" applyAlignment="1" applyProtection="1">
      <alignment horizontal="center" vertical="center" shrinkToFit="1"/>
      <protection locked="0"/>
    </xf>
    <xf numFmtId="0" fontId="2" fillId="26" borderId="111" xfId="0" applyFont="1" applyFill="1" applyBorder="1" applyAlignment="1" applyProtection="1">
      <alignment vertical="center" shrinkToFit="1"/>
      <protection locked="0"/>
    </xf>
    <xf numFmtId="0" fontId="2" fillId="26" borderId="112" xfId="0" applyFont="1" applyFill="1" applyBorder="1" applyAlignment="1" applyProtection="1">
      <alignment horizontal="center" vertical="center" shrinkToFit="1"/>
      <protection locked="0"/>
    </xf>
    <xf numFmtId="0" fontId="2" fillId="26" borderId="113" xfId="0" applyFont="1" applyFill="1" applyBorder="1" applyAlignment="1" applyProtection="1">
      <alignment horizontal="center" vertical="center" shrinkToFit="1"/>
      <protection locked="0"/>
    </xf>
    <xf numFmtId="0" fontId="2" fillId="26" borderId="114" xfId="0" applyFont="1" applyFill="1" applyBorder="1" applyAlignment="1" applyProtection="1">
      <alignment horizontal="center" vertical="center" shrinkToFit="1"/>
      <protection locked="0"/>
    </xf>
    <xf numFmtId="0" fontId="54" fillId="26" borderId="113" xfId="0" applyFont="1" applyFill="1" applyBorder="1" applyAlignment="1" applyProtection="1">
      <alignment horizontal="center" vertical="center" shrinkToFit="1"/>
      <protection locked="0"/>
    </xf>
    <xf numFmtId="0" fontId="52" fillId="26" borderId="114" xfId="0" applyFont="1" applyFill="1" applyBorder="1" applyAlignment="1" applyProtection="1">
      <alignment horizontal="center" vertical="center" shrinkToFit="1"/>
      <protection locked="0"/>
    </xf>
    <xf numFmtId="0" fontId="2" fillId="26" borderId="57" xfId="0" applyFont="1" applyFill="1" applyBorder="1" applyAlignment="1" applyProtection="1">
      <alignment horizontal="center" vertical="center" shrinkToFit="1"/>
      <protection locked="0"/>
    </xf>
    <xf numFmtId="0" fontId="2" fillId="26" borderId="59" xfId="0" applyFont="1" applyFill="1" applyBorder="1" applyAlignment="1" applyProtection="1">
      <alignment horizontal="center" vertical="center" shrinkToFit="1"/>
      <protection locked="0"/>
    </xf>
    <xf numFmtId="0" fontId="2" fillId="26" borderId="60" xfId="0" applyFont="1" applyFill="1" applyBorder="1" applyAlignment="1" applyProtection="1">
      <alignment horizontal="center" vertical="center" shrinkToFit="1"/>
      <protection locked="0"/>
    </xf>
    <xf numFmtId="0" fontId="2" fillId="26" borderId="115" xfId="0" applyFont="1" applyFill="1" applyBorder="1" applyAlignment="1" applyProtection="1">
      <alignment horizontal="center" vertical="center" shrinkToFit="1"/>
      <protection locked="0"/>
    </xf>
    <xf numFmtId="0" fontId="2" fillId="4" borderId="116" xfId="0" applyFont="1" applyFill="1" applyBorder="1" applyAlignment="1" applyProtection="1">
      <alignment horizontal="center" vertical="center" shrinkToFit="1"/>
      <protection locked="0"/>
    </xf>
    <xf numFmtId="49" fontId="2" fillId="3" borderId="31" xfId="0" applyNumberFormat="1" applyFont="1" applyFill="1" applyBorder="1" applyAlignment="1" applyProtection="1">
      <alignment horizontal="center" vertical="center" shrinkToFit="1"/>
      <protection locked="0"/>
    </xf>
    <xf numFmtId="0" fontId="8" fillId="11" borderId="30" xfId="0" applyFont="1" applyFill="1" applyBorder="1" applyAlignment="1" applyProtection="1">
      <alignment horizontal="left" vertical="center" shrinkToFit="1"/>
      <protection locked="0"/>
    </xf>
    <xf numFmtId="0" fontId="32" fillId="4" borderId="30" xfId="0" applyFont="1" applyFill="1" applyBorder="1" applyAlignment="1" applyProtection="1">
      <alignment horizontal="left" vertical="center" shrinkToFit="1"/>
      <protection locked="0"/>
    </xf>
    <xf numFmtId="0" fontId="12" fillId="4" borderId="30" xfId="0" applyFont="1" applyFill="1" applyBorder="1" applyAlignment="1" applyProtection="1">
      <alignment horizontal="left" vertical="center" shrinkToFit="1"/>
      <protection locked="0"/>
    </xf>
    <xf numFmtId="0" fontId="21" fillId="4" borderId="115" xfId="0" applyFont="1" applyFill="1" applyBorder="1" applyAlignment="1" applyProtection="1">
      <alignment horizontal="left" vertical="center" shrinkToFit="1"/>
      <protection locked="0"/>
    </xf>
    <xf numFmtId="186" fontId="11" fillId="13" borderId="36" xfId="0" applyNumberFormat="1" applyFont="1" applyFill="1" applyBorder="1" applyAlignment="1" applyProtection="1">
      <alignment horizontal="left" vertical="center" shrinkToFit="1"/>
      <protection locked="0"/>
    </xf>
    <xf numFmtId="173" fontId="2" fillId="5" borderId="30" xfId="0" applyNumberFormat="1" applyFont="1" applyFill="1" applyBorder="1" applyAlignment="1" applyProtection="1">
      <alignment horizontal="left" vertical="center" shrinkToFit="1"/>
      <protection locked="0"/>
    </xf>
    <xf numFmtId="49" fontId="0" fillId="4" borderId="34" xfId="0" applyNumberFormat="1" applyFill="1" applyBorder="1" applyAlignment="1" applyProtection="1">
      <alignment vertical="center" shrinkToFit="1"/>
      <protection locked="0"/>
    </xf>
    <xf numFmtId="0" fontId="2" fillId="26" borderId="117" xfId="0" applyFont="1" applyFill="1" applyBorder="1" applyAlignment="1" applyProtection="1">
      <alignment horizontal="center" vertical="center" shrinkToFit="1"/>
      <protection locked="0"/>
    </xf>
    <xf numFmtId="173" fontId="11" fillId="13" borderId="36" xfId="0" applyNumberFormat="1" applyFont="1" applyFill="1" applyBorder="1" applyAlignment="1" applyProtection="1">
      <alignment horizontal="center" vertical="center" shrinkToFit="1"/>
      <protection locked="0"/>
    </xf>
    <xf numFmtId="174" fontId="2" fillId="5" borderId="30" xfId="0" applyNumberFormat="1" applyFont="1" applyFill="1" applyBorder="1" applyAlignment="1" applyProtection="1">
      <alignment horizontal="center" vertical="center" shrinkToFit="1"/>
      <protection locked="0"/>
    </xf>
    <xf numFmtId="0" fontId="2" fillId="26" borderId="118" xfId="0" applyFont="1" applyFill="1" applyBorder="1" applyAlignment="1" applyProtection="1">
      <alignment horizontal="center" vertical="center" shrinkToFit="1"/>
      <protection locked="0"/>
    </xf>
    <xf numFmtId="175" fontId="26" fillId="26" borderId="30" xfId="0" applyNumberFormat="1" applyFont="1" applyFill="1" applyBorder="1" applyAlignment="1" applyProtection="1">
      <alignment horizontal="center" vertical="center" shrinkToFit="1"/>
      <protection locked="0"/>
    </xf>
    <xf numFmtId="180" fontId="26" fillId="4" borderId="30" xfId="0" applyNumberFormat="1" applyFont="1" applyFill="1" applyBorder="1" applyAlignment="1" applyProtection="1">
      <alignment horizontal="center" vertical="center" shrinkToFit="1"/>
      <protection locked="0"/>
    </xf>
    <xf numFmtId="175" fontId="31" fillId="26" borderId="30" xfId="0" applyNumberFormat="1" applyFont="1" applyFill="1" applyBorder="1" applyAlignment="1" applyProtection="1">
      <alignment horizontal="center" vertical="center" shrinkToFit="1"/>
      <protection locked="0"/>
    </xf>
    <xf numFmtId="180" fontId="2" fillId="4" borderId="119" xfId="0" applyNumberFormat="1" applyFont="1" applyFill="1" applyBorder="1" applyAlignment="1" applyProtection="1">
      <alignment horizontal="center" vertical="center" shrinkToFit="1"/>
      <protection locked="0"/>
    </xf>
    <xf numFmtId="9" fontId="2" fillId="4" borderId="34" xfId="0" applyNumberFormat="1" applyFont="1" applyFill="1" applyBorder="1" applyAlignment="1" applyProtection="1">
      <alignment horizontal="center" vertical="center" shrinkToFit="1"/>
      <protection locked="0"/>
    </xf>
    <xf numFmtId="182" fontId="26" fillId="26" borderId="31" xfId="0" applyNumberFormat="1" applyFont="1" applyFill="1" applyBorder="1" applyAlignment="1" applyProtection="1">
      <alignment horizontal="center" vertical="center" shrinkToFit="1"/>
      <protection locked="0"/>
    </xf>
    <xf numFmtId="181" fontId="26" fillId="4" borderId="30" xfId="0" applyNumberFormat="1" applyFont="1" applyFill="1" applyBorder="1" applyAlignment="1" applyProtection="1">
      <alignment horizontal="center" vertical="center" shrinkToFit="1"/>
      <protection locked="0"/>
    </xf>
    <xf numFmtId="182" fontId="27" fillId="26" borderId="30" xfId="0" applyNumberFormat="1" applyFont="1" applyFill="1" applyBorder="1" applyAlignment="1" applyProtection="1">
      <alignment horizontal="center" vertical="center" shrinkToFit="1"/>
      <protection locked="0"/>
    </xf>
    <xf numFmtId="183" fontId="2" fillId="26" borderId="115" xfId="0" applyNumberFormat="1" applyFont="1" applyFill="1" applyBorder="1" applyAlignment="1" applyProtection="1">
      <alignment horizontal="center" vertical="center" shrinkToFit="1"/>
      <protection locked="0"/>
    </xf>
    <xf numFmtId="0" fontId="29" fillId="26" borderId="30" xfId="0" applyFont="1" applyFill="1" applyBorder="1" applyAlignment="1" applyProtection="1">
      <alignment horizontal="center" vertical="center" shrinkToFit="1"/>
      <protection locked="0"/>
    </xf>
    <xf numFmtId="0" fontId="29" fillId="26" borderId="39" xfId="0" applyFont="1" applyFill="1" applyBorder="1" applyAlignment="1" applyProtection="1">
      <alignment horizontal="center" vertical="center" shrinkToFit="1"/>
      <protection locked="0"/>
    </xf>
    <xf numFmtId="172" fontId="16" fillId="8" borderId="102" xfId="0" applyNumberFormat="1" applyFont="1" applyFill="1" applyBorder="1" applyAlignment="1" applyProtection="1">
      <alignment horizontal="center" vertical="center" shrinkToFit="1"/>
    </xf>
    <xf numFmtId="183" fontId="2" fillId="26" borderId="30" xfId="0" applyNumberFormat="1" applyFont="1" applyFill="1" applyBorder="1" applyAlignment="1" applyProtection="1">
      <alignment horizontal="center" vertical="center" shrinkToFit="1"/>
      <protection locked="0"/>
    </xf>
    <xf numFmtId="183" fontId="2" fillId="26" borderId="39" xfId="0" applyNumberFormat="1" applyFont="1" applyFill="1" applyBorder="1" applyAlignment="1" applyProtection="1">
      <alignment horizontal="center" vertical="center" shrinkToFit="1"/>
      <protection locked="0"/>
    </xf>
    <xf numFmtId="0" fontId="50" fillId="4" borderId="30" xfId="0" applyFont="1" applyFill="1" applyBorder="1" applyAlignment="1" applyProtection="1">
      <alignment horizontal="left" vertical="center"/>
      <protection locked="0"/>
    </xf>
    <xf numFmtId="0" fontId="59" fillId="4" borderId="39" xfId="0" applyFont="1" applyFill="1" applyBorder="1" applyAlignment="1" applyProtection="1">
      <alignment horizontal="left" vertical="center" shrinkToFit="1"/>
      <protection locked="0"/>
    </xf>
    <xf numFmtId="0" fontId="8" fillId="3" borderId="120" xfId="0" applyFont="1" applyFill="1" applyBorder="1" applyAlignment="1" applyProtection="1">
      <alignment horizontal="center" vertical="center"/>
    </xf>
    <xf numFmtId="0" fontId="1" fillId="26" borderId="121" xfId="0" applyFont="1" applyFill="1" applyBorder="1" applyAlignment="1" applyProtection="1">
      <alignment horizontal="center" vertical="center"/>
      <protection locked="0" hidden="1"/>
    </xf>
    <xf numFmtId="49" fontId="2" fillId="11" borderId="2" xfId="0" applyNumberFormat="1" applyFont="1" applyFill="1" applyBorder="1" applyAlignment="1">
      <alignment horizontal="center" vertical="center" shrinkToFit="1"/>
    </xf>
    <xf numFmtId="49" fontId="2" fillId="11" borderId="20" xfId="0" applyNumberFormat="1" applyFont="1" applyFill="1" applyBorder="1" applyAlignment="1">
      <alignment horizontal="center" vertical="center" shrinkToFit="1"/>
    </xf>
    <xf numFmtId="49" fontId="2" fillId="11" borderId="26" xfId="0" applyNumberFormat="1" applyFont="1" applyFill="1" applyBorder="1" applyAlignment="1">
      <alignment horizontal="center" vertical="center" shrinkToFit="1"/>
    </xf>
    <xf numFmtId="49" fontId="2" fillId="11" borderId="24" xfId="0" applyNumberFormat="1" applyFont="1" applyFill="1" applyBorder="1" applyAlignment="1">
      <alignment horizontal="center" vertical="center" shrinkToFit="1"/>
    </xf>
    <xf numFmtId="49" fontId="2" fillId="0" borderId="0" xfId="0" applyNumberFormat="1" applyFont="1" applyAlignment="1" applyProtection="1">
      <alignment horizontal="center" vertical="center" shrinkToFit="1"/>
      <protection locked="0"/>
    </xf>
    <xf numFmtId="49" fontId="3" fillId="0" borderId="0" xfId="0" applyNumberFormat="1" applyFont="1" applyAlignment="1" applyProtection="1">
      <alignment horizontal="center" vertical="center" shrinkToFit="1"/>
      <protection locked="0"/>
    </xf>
    <xf numFmtId="49" fontId="2" fillId="3" borderId="2" xfId="0" applyNumberFormat="1" applyFont="1" applyFill="1" applyBorder="1" applyAlignment="1" applyProtection="1">
      <alignment horizontal="center" vertical="top" shrinkToFit="1"/>
    </xf>
    <xf numFmtId="49" fontId="2" fillId="0" borderId="0" xfId="0" applyNumberFormat="1" applyFont="1" applyAlignment="1" applyProtection="1">
      <alignment horizontal="center" vertical="center"/>
      <protection locked="0"/>
    </xf>
    <xf numFmtId="49" fontId="2" fillId="0" borderId="0" xfId="0" applyNumberFormat="1" applyFont="1" applyBorder="1" applyAlignment="1" applyProtection="1">
      <alignment horizontal="center" vertical="center"/>
      <protection locked="0"/>
    </xf>
    <xf numFmtId="49" fontId="2" fillId="3" borderId="2" xfId="0" applyNumberFormat="1" applyFont="1" applyFill="1" applyBorder="1" applyAlignment="1" applyProtection="1">
      <alignment horizontal="center" vertical="top"/>
    </xf>
    <xf numFmtId="189" fontId="26" fillId="26" borderId="31" xfId="0" applyNumberFormat="1" applyFont="1" applyFill="1" applyBorder="1" applyAlignment="1" applyProtection="1">
      <alignment horizontal="center" vertical="center" shrinkToFit="1"/>
      <protection locked="0"/>
    </xf>
    <xf numFmtId="189" fontId="27" fillId="26" borderId="30" xfId="0" applyNumberFormat="1" applyFont="1" applyFill="1" applyBorder="1" applyAlignment="1" applyProtection="1">
      <alignment horizontal="center" vertical="center" shrinkToFit="1"/>
      <protection locked="0"/>
    </xf>
    <xf numFmtId="190" fontId="26" fillId="4" borderId="30" xfId="0" applyNumberFormat="1" applyFont="1" applyFill="1" applyBorder="1" applyAlignment="1" applyProtection="1">
      <alignment horizontal="center" vertical="center" shrinkToFit="1"/>
      <protection locked="0"/>
    </xf>
    <xf numFmtId="49" fontId="1" fillId="3" borderId="2" xfId="0" applyNumberFormat="1" applyFont="1" applyFill="1" applyBorder="1" applyAlignment="1" applyProtection="1">
      <alignment horizontal="center" vertical="center" shrinkToFit="1"/>
    </xf>
    <xf numFmtId="49" fontId="1" fillId="3" borderId="7" xfId="0" applyNumberFormat="1" applyFont="1" applyFill="1" applyBorder="1" applyAlignment="1" applyProtection="1">
      <alignment horizontal="center" vertical="center" shrinkToFit="1"/>
    </xf>
    <xf numFmtId="49" fontId="1" fillId="3" borderId="6" xfId="0" applyNumberFormat="1" applyFont="1" applyFill="1" applyBorder="1" applyAlignment="1" applyProtection="1">
      <alignment horizontal="center" vertical="center" shrinkToFit="1"/>
    </xf>
    <xf numFmtId="0" fontId="52" fillId="26" borderId="122" xfId="0" applyFont="1" applyFill="1" applyBorder="1" applyAlignment="1" applyProtection="1">
      <alignment horizontal="center" vertical="center" shrinkToFit="1"/>
      <protection locked="0"/>
    </xf>
    <xf numFmtId="0" fontId="16" fillId="8" borderId="123" xfId="0" applyFont="1" applyFill="1" applyBorder="1" applyAlignment="1" applyProtection="1">
      <alignment horizontal="center" vertical="center" shrinkToFit="1"/>
    </xf>
    <xf numFmtId="0" fontId="54" fillId="26" borderId="124" xfId="0" applyFont="1" applyFill="1" applyBorder="1" applyAlignment="1" applyProtection="1">
      <alignment horizontal="center" vertical="center" shrinkToFit="1"/>
      <protection locked="0"/>
    </xf>
    <xf numFmtId="0" fontId="52" fillId="26" borderId="125" xfId="0" applyFont="1" applyFill="1" applyBorder="1" applyAlignment="1" applyProtection="1">
      <alignment horizontal="center" vertical="center" shrinkToFit="1"/>
      <protection locked="0"/>
    </xf>
    <xf numFmtId="0" fontId="1" fillId="26" borderId="114" xfId="0" applyFont="1" applyFill="1" applyBorder="1" applyAlignment="1" applyProtection="1">
      <alignment horizontal="center" vertical="center" shrinkToFit="1"/>
      <protection locked="0"/>
    </xf>
    <xf numFmtId="49" fontId="1" fillId="3" borderId="110" xfId="0" applyNumberFormat="1" applyFont="1" applyFill="1" applyBorder="1" applyAlignment="1" applyProtection="1">
      <alignment horizontal="center" vertical="center" shrinkToFit="1"/>
    </xf>
    <xf numFmtId="49" fontId="1" fillId="3" borderId="126" xfId="0" applyNumberFormat="1" applyFont="1" applyFill="1" applyBorder="1" applyAlignment="1" applyProtection="1">
      <alignment horizontal="left" vertical="center" shrinkToFit="1"/>
    </xf>
    <xf numFmtId="0" fontId="55" fillId="3" borderId="107" xfId="0" applyFont="1" applyFill="1" applyBorder="1" applyAlignment="1" applyProtection="1">
      <alignment horizontal="centerContinuous" vertical="center" shrinkToFit="1"/>
    </xf>
    <xf numFmtId="0" fontId="60" fillId="3" borderId="127" xfId="0" applyNumberFormat="1" applyFont="1" applyFill="1" applyBorder="1" applyAlignment="1" applyProtection="1">
      <alignment horizontal="center" vertical="center"/>
    </xf>
    <xf numFmtId="0" fontId="54" fillId="26" borderId="36" xfId="0" applyNumberFormat="1" applyFont="1" applyFill="1" applyBorder="1" applyAlignment="1" applyProtection="1">
      <alignment horizontal="center" vertical="center"/>
      <protection locked="0"/>
    </xf>
    <xf numFmtId="177" fontId="1" fillId="4" borderId="128" xfId="0" applyNumberFormat="1" applyFont="1" applyFill="1" applyBorder="1" applyAlignment="1" applyProtection="1">
      <alignment horizontal="centerContinuous" vertical="center"/>
      <protection locked="0"/>
    </xf>
    <xf numFmtId="49" fontId="1" fillId="10" borderId="16" xfId="0" applyNumberFormat="1" applyFont="1" applyFill="1" applyBorder="1" applyAlignment="1" applyProtection="1">
      <alignment horizontal="center" vertical="center"/>
      <protection locked="0"/>
    </xf>
    <xf numFmtId="177" fontId="1" fillId="4" borderId="129" xfId="0" applyNumberFormat="1" applyFont="1" applyFill="1" applyBorder="1" applyAlignment="1" applyProtection="1">
      <alignment horizontal="centerContinuous" vertical="center"/>
      <protection locked="0"/>
    </xf>
    <xf numFmtId="0" fontId="1" fillId="12" borderId="130" xfId="0" applyNumberFormat="1" applyFont="1" applyFill="1" applyBorder="1" applyAlignment="1" applyProtection="1">
      <alignment horizontal="center" vertical="center"/>
      <protection locked="0"/>
    </xf>
    <xf numFmtId="0" fontId="1" fillId="8" borderId="130" xfId="0" applyNumberFormat="1" applyFont="1" applyFill="1" applyBorder="1" applyAlignment="1" applyProtection="1">
      <alignment horizontal="center" vertical="center"/>
      <protection locked="0"/>
    </xf>
    <xf numFmtId="0" fontId="1" fillId="25" borderId="130" xfId="0" applyNumberFormat="1" applyFont="1" applyFill="1" applyBorder="1" applyAlignment="1" applyProtection="1">
      <alignment horizontal="center" vertical="center"/>
      <protection locked="0"/>
    </xf>
    <xf numFmtId="0" fontId="1" fillId="4" borderId="130" xfId="0" applyNumberFormat="1" applyFont="1" applyFill="1" applyBorder="1" applyAlignment="1" applyProtection="1">
      <alignment horizontal="center" vertical="center"/>
      <protection locked="0"/>
    </xf>
    <xf numFmtId="191" fontId="1" fillId="4" borderId="131" xfId="0" applyNumberFormat="1" applyFont="1" applyFill="1" applyBorder="1" applyAlignment="1" applyProtection="1">
      <alignment horizontal="centerContinuous" vertical="center" shrinkToFit="1"/>
      <protection locked="0"/>
    </xf>
    <xf numFmtId="0" fontId="1" fillId="4" borderId="132" xfId="0" applyNumberFormat="1" applyFont="1" applyFill="1" applyBorder="1" applyAlignment="1" applyProtection="1">
      <alignment horizontal="center" vertical="center"/>
      <protection locked="0"/>
    </xf>
    <xf numFmtId="49" fontId="1" fillId="3" borderId="7" xfId="0" applyNumberFormat="1" applyFont="1" applyFill="1" applyBorder="1" applyAlignment="1" applyProtection="1">
      <alignment horizontal="centerContinuous" vertical="center" shrinkToFit="1"/>
    </xf>
    <xf numFmtId="49" fontId="1" fillId="3" borderId="0" xfId="0" applyNumberFormat="1" applyFont="1" applyFill="1" applyBorder="1" applyAlignment="1" applyProtection="1">
      <alignment horizontal="center" vertical="center" shrinkToFit="1"/>
    </xf>
    <xf numFmtId="0" fontId="1" fillId="3" borderId="21" xfId="0" applyFont="1" applyFill="1" applyBorder="1">
      <alignment vertical="center"/>
    </xf>
    <xf numFmtId="0" fontId="8" fillId="11" borderId="110" xfId="0" applyNumberFormat="1" applyFont="1" applyFill="1" applyBorder="1" applyAlignment="1">
      <alignment horizontal="left" vertical="center" shrinkToFit="1"/>
    </xf>
    <xf numFmtId="0" fontId="8" fillId="11" borderId="7" xfId="0" applyNumberFormat="1" applyFont="1" applyFill="1" applyBorder="1" applyAlignment="1">
      <alignment horizontal="left" vertical="center" shrinkToFit="1"/>
    </xf>
    <xf numFmtId="0" fontId="8" fillId="11" borderId="21" xfId="0" applyNumberFormat="1" applyFont="1" applyFill="1" applyBorder="1" applyAlignment="1">
      <alignment horizontal="left" vertical="center" shrinkToFit="1"/>
    </xf>
    <xf numFmtId="0" fontId="1" fillId="11" borderId="21" xfId="0" applyNumberFormat="1" applyFont="1" applyFill="1" applyBorder="1" applyAlignment="1">
      <alignment horizontal="center" vertical="center" shrinkToFit="1"/>
    </xf>
    <xf numFmtId="0" fontId="1" fillId="11" borderId="7" xfId="0" applyNumberFormat="1" applyFont="1" applyFill="1" applyBorder="1" applyAlignment="1">
      <alignment horizontal="center" vertical="center" shrinkToFit="1"/>
    </xf>
    <xf numFmtId="0" fontId="1" fillId="11" borderId="21" xfId="0" applyNumberFormat="1" applyFont="1" applyFill="1" applyBorder="1" applyAlignment="1">
      <alignment horizontal="left" vertical="center" shrinkToFit="1"/>
    </xf>
    <xf numFmtId="175" fontId="26" fillId="26" borderId="21" xfId="0" applyNumberFormat="1" applyFont="1" applyFill="1" applyBorder="1" applyAlignment="1">
      <alignment horizontal="center" vertical="center" shrinkToFit="1"/>
    </xf>
    <xf numFmtId="175" fontId="26" fillId="26" borderId="7" xfId="0" applyNumberFormat="1" applyFont="1" applyFill="1" applyBorder="1" applyAlignment="1">
      <alignment horizontal="center" vertical="center" shrinkToFit="1"/>
    </xf>
    <xf numFmtId="180" fontId="26" fillId="4" borderId="21" xfId="0" applyNumberFormat="1" applyFont="1" applyFill="1" applyBorder="1" applyAlignment="1">
      <alignment horizontal="center" vertical="center" shrinkToFit="1"/>
    </xf>
    <xf numFmtId="180" fontId="26" fillId="4" borderId="7" xfId="0" applyNumberFormat="1" applyFont="1" applyFill="1" applyBorder="1" applyAlignment="1">
      <alignment horizontal="center" vertical="center" shrinkToFit="1"/>
    </xf>
    <xf numFmtId="175" fontId="31" fillId="26" borderId="21" xfId="0" applyNumberFormat="1" applyFont="1" applyFill="1" applyBorder="1" applyAlignment="1">
      <alignment horizontal="center" vertical="center" shrinkToFit="1"/>
    </xf>
    <xf numFmtId="175" fontId="31" fillId="26" borderId="7" xfId="0" applyNumberFormat="1" applyFont="1" applyFill="1" applyBorder="1" applyAlignment="1">
      <alignment horizontal="center" vertical="center" shrinkToFit="1"/>
    </xf>
    <xf numFmtId="180" fontId="1" fillId="4" borderId="21" xfId="0" applyNumberFormat="1" applyFont="1" applyFill="1" applyBorder="1" applyAlignment="1">
      <alignment horizontal="center" vertical="center" shrinkToFit="1"/>
    </xf>
    <xf numFmtId="180" fontId="1" fillId="4" borderId="7" xfId="0" applyNumberFormat="1" applyFont="1" applyFill="1" applyBorder="1" applyAlignment="1">
      <alignment horizontal="center" vertical="center" shrinkToFit="1"/>
    </xf>
    <xf numFmtId="9" fontId="1" fillId="4" borderId="21" xfId="0" applyNumberFormat="1" applyFont="1" applyFill="1" applyBorder="1" applyAlignment="1">
      <alignment horizontal="center" vertical="center" shrinkToFit="1"/>
    </xf>
    <xf numFmtId="9" fontId="1" fillId="4" borderId="7" xfId="0" applyNumberFormat="1" applyFont="1" applyFill="1" applyBorder="1" applyAlignment="1">
      <alignment horizontal="center" vertical="center" shrinkToFit="1"/>
    </xf>
    <xf numFmtId="169" fontId="1" fillId="4" borderId="21" xfId="0" applyNumberFormat="1" applyFont="1" applyFill="1" applyBorder="1" applyAlignment="1">
      <alignment horizontal="center" vertical="center" shrinkToFit="1"/>
    </xf>
    <xf numFmtId="169" fontId="1" fillId="4" borderId="7" xfId="0" applyNumberFormat="1" applyFont="1" applyFill="1" applyBorder="1" applyAlignment="1">
      <alignment horizontal="center" vertical="center" shrinkToFit="1"/>
    </xf>
    <xf numFmtId="0" fontId="1" fillId="4" borderId="133" xfId="0" applyNumberFormat="1" applyFont="1" applyFill="1" applyBorder="1" applyAlignment="1">
      <alignment horizontal="left" vertical="center" shrinkToFit="1"/>
    </xf>
    <xf numFmtId="0" fontId="1" fillId="4" borderId="109" xfId="0" applyNumberFormat="1" applyFont="1" applyFill="1" applyBorder="1" applyAlignment="1">
      <alignment horizontal="left" vertical="center" shrinkToFit="1"/>
    </xf>
    <xf numFmtId="0" fontId="1" fillId="11" borderId="7" xfId="0" applyNumberFormat="1" applyFont="1" applyFill="1" applyBorder="1" applyAlignment="1">
      <alignment horizontal="left" vertical="center" shrinkToFit="1"/>
    </xf>
    <xf numFmtId="0" fontId="8" fillId="11" borderId="21" xfId="3" applyNumberFormat="1" applyFont="1" applyFill="1" applyBorder="1" applyAlignment="1">
      <alignment horizontal="left" vertical="center" wrapText="1" shrinkToFit="1"/>
    </xf>
    <xf numFmtId="0" fontId="8" fillId="11" borderId="21" xfId="3" applyNumberFormat="1" applyFont="1" applyFill="1" applyBorder="1" applyAlignment="1">
      <alignment horizontal="left" vertical="center" shrinkToFit="1"/>
    </xf>
    <xf numFmtId="49" fontId="1" fillId="3" borderId="110" xfId="0" applyNumberFormat="1" applyFont="1" applyFill="1" applyBorder="1" applyAlignment="1" applyProtection="1">
      <alignment horizontal="left" vertical="center" shrinkToFit="1"/>
    </xf>
    <xf numFmtId="0" fontId="2" fillId="6" borderId="21" xfId="0" applyFont="1" applyFill="1" applyBorder="1" applyAlignment="1">
      <alignment vertical="center"/>
    </xf>
    <xf numFmtId="0" fontId="2" fillId="7" borderId="21" xfId="0" applyFont="1" applyFill="1" applyBorder="1" applyAlignment="1">
      <alignment vertical="center"/>
    </xf>
    <xf numFmtId="0" fontId="2" fillId="10" borderId="21" xfId="0" applyFont="1" applyFill="1" applyBorder="1" applyAlignment="1">
      <alignment vertical="center"/>
    </xf>
    <xf numFmtId="0" fontId="64" fillId="11" borderId="110" xfId="3" applyNumberFormat="1" applyFont="1" applyFill="1" applyBorder="1" applyAlignment="1">
      <alignment horizontal="left" vertical="center" wrapText="1" shrinkToFit="1"/>
    </xf>
    <xf numFmtId="0" fontId="8" fillId="11" borderId="21" xfId="2" applyNumberFormat="1" applyFont="1" applyFill="1" applyBorder="1" applyAlignment="1">
      <alignment horizontal="left" vertical="center" wrapText="1" shrinkToFit="1"/>
    </xf>
    <xf numFmtId="0" fontId="8" fillId="11" borderId="21" xfId="2" applyNumberFormat="1" applyFont="1" applyFill="1" applyBorder="1" applyAlignment="1">
      <alignment horizontal="left" vertical="center" shrinkToFit="1"/>
    </xf>
    <xf numFmtId="0" fontId="0" fillId="0" borderId="0" xfId="0" applyBorder="1">
      <alignment vertical="center"/>
    </xf>
    <xf numFmtId="0" fontId="0" fillId="0" borderId="109" xfId="0" applyBorder="1">
      <alignment vertical="center"/>
    </xf>
    <xf numFmtId="0" fontId="2" fillId="15" borderId="16" xfId="0" applyFont="1" applyFill="1" applyBorder="1" applyAlignment="1">
      <alignment vertical="center"/>
    </xf>
    <xf numFmtId="0" fontId="2" fillId="23" borderId="16" xfId="0" applyFont="1" applyFill="1" applyBorder="1" applyAlignment="1">
      <alignment vertical="center"/>
    </xf>
    <xf numFmtId="0" fontId="2" fillId="0" borderId="16" xfId="0" applyFont="1" applyBorder="1" applyAlignment="1">
      <alignment vertical="center"/>
    </xf>
    <xf numFmtId="0" fontId="2" fillId="0" borderId="134" xfId="0" applyFont="1" applyBorder="1" applyAlignment="1">
      <alignment vertical="center"/>
    </xf>
    <xf numFmtId="0" fontId="2" fillId="0" borderId="28" xfId="0" applyFont="1" applyBorder="1" applyAlignment="1">
      <alignment vertical="center"/>
    </xf>
    <xf numFmtId="0" fontId="2" fillId="4" borderId="18" xfId="0" applyFont="1" applyFill="1" applyBorder="1" applyAlignment="1">
      <alignment horizontal="center" vertical="center"/>
    </xf>
    <xf numFmtId="0" fontId="2" fillId="4" borderId="26" xfId="0" applyFont="1" applyFill="1" applyBorder="1" applyAlignment="1">
      <alignment horizontal="center" vertical="center"/>
    </xf>
    <xf numFmtId="0" fontId="2" fillId="5" borderId="26" xfId="0" applyFont="1" applyFill="1" applyBorder="1" applyAlignment="1">
      <alignment horizontal="center" vertical="center"/>
    </xf>
    <xf numFmtId="14" fontId="2" fillId="5" borderId="26" xfId="0" applyNumberFormat="1" applyFont="1" applyFill="1" applyBorder="1" applyAlignment="1">
      <alignment horizontal="center" vertical="center"/>
    </xf>
    <xf numFmtId="0" fontId="1" fillId="23" borderId="21" xfId="0" applyFont="1" applyFill="1" applyBorder="1">
      <alignment vertical="center"/>
    </xf>
    <xf numFmtId="185" fontId="51" fillId="0" borderId="0" xfId="0" applyNumberFormat="1" applyFont="1" applyAlignment="1">
      <alignment vertical="center"/>
    </xf>
    <xf numFmtId="185" fontId="2" fillId="0" borderId="0" xfId="0" applyNumberFormat="1" applyFont="1" applyFill="1" applyBorder="1" applyAlignment="1">
      <alignment horizontal="center" vertical="center"/>
    </xf>
    <xf numFmtId="0" fontId="9" fillId="0" borderId="0" xfId="5"/>
    <xf numFmtId="0" fontId="9" fillId="30" borderId="160" xfId="5" applyFill="1" applyBorder="1"/>
    <xf numFmtId="0" fontId="9" fillId="30" borderId="161" xfId="5" applyFill="1" applyBorder="1" applyAlignment="1">
      <alignment horizontal="center"/>
    </xf>
    <xf numFmtId="0" fontId="10" fillId="30" borderId="161" xfId="5" applyFont="1" applyFill="1" applyBorder="1" applyAlignment="1">
      <alignment horizontal="center"/>
    </xf>
    <xf numFmtId="0" fontId="9" fillId="30" borderId="162" xfId="5" applyFill="1" applyBorder="1" applyAlignment="1">
      <alignment horizontal="center"/>
    </xf>
    <xf numFmtId="0" fontId="9" fillId="30" borderId="163" xfId="5" applyFill="1" applyBorder="1" applyAlignment="1">
      <alignment horizontal="center"/>
    </xf>
    <xf numFmtId="0" fontId="9" fillId="30" borderId="164" xfId="5" applyFill="1" applyBorder="1"/>
    <xf numFmtId="0" fontId="9" fillId="30" borderId="165" xfId="5" applyFill="1" applyBorder="1" applyAlignment="1">
      <alignment horizontal="center"/>
    </xf>
    <xf numFmtId="0" fontId="9" fillId="30" borderId="166" xfId="5" applyFill="1" applyBorder="1" applyAlignment="1">
      <alignment horizontal="center"/>
    </xf>
    <xf numFmtId="0" fontId="9" fillId="30" borderId="167" xfId="5" applyFill="1" applyBorder="1" applyAlignment="1">
      <alignment horizontal="center"/>
    </xf>
    <xf numFmtId="9" fontId="6" fillId="30" borderId="168" xfId="5" applyNumberFormat="1" applyFont="1" applyFill="1" applyBorder="1"/>
    <xf numFmtId="0" fontId="9" fillId="35" borderId="169" xfId="5" applyFill="1" applyBorder="1" applyAlignment="1">
      <alignment horizontal="center" vertical="center"/>
    </xf>
    <xf numFmtId="9" fontId="6" fillId="30" borderId="170" xfId="5" applyNumberFormat="1" applyFont="1" applyFill="1" applyBorder="1"/>
    <xf numFmtId="0" fontId="9" fillId="36" borderId="26" xfId="5" applyFill="1" applyBorder="1" applyAlignment="1">
      <alignment horizontal="center" vertical="center"/>
    </xf>
    <xf numFmtId="0" fontId="9" fillId="35" borderId="26" xfId="5" applyFill="1" applyBorder="1" applyAlignment="1">
      <alignment horizontal="center" vertical="center"/>
    </xf>
    <xf numFmtId="0" fontId="9" fillId="0" borderId="19" xfId="5" applyFill="1" applyBorder="1" applyAlignment="1">
      <alignment horizontal="center" vertical="center"/>
    </xf>
    <xf numFmtId="0" fontId="9" fillId="0" borderId="19" xfId="5" applyFill="1" applyBorder="1" applyAlignment="1">
      <alignment vertical="center" wrapText="1"/>
    </xf>
    <xf numFmtId="0" fontId="9" fillId="36" borderId="19" xfId="5" applyFill="1" applyBorder="1" applyAlignment="1">
      <alignment vertical="center" wrapText="1"/>
    </xf>
    <xf numFmtId="0" fontId="9" fillId="36" borderId="19" xfId="5" applyFill="1" applyBorder="1" applyAlignment="1">
      <alignment horizontal="center" vertical="center" wrapText="1"/>
    </xf>
    <xf numFmtId="0" fontId="9" fillId="0" borderId="26" xfId="5" applyFill="1" applyBorder="1" applyAlignment="1">
      <alignment horizontal="center" vertical="center" wrapText="1"/>
    </xf>
    <xf numFmtId="0" fontId="9" fillId="0" borderId="20" xfId="5" applyFill="1" applyBorder="1" applyAlignment="1">
      <alignment horizontal="center" vertical="center" wrapText="1"/>
    </xf>
    <xf numFmtId="9" fontId="6" fillId="30" borderId="171" xfId="5" applyNumberFormat="1" applyFont="1" applyFill="1" applyBorder="1"/>
    <xf numFmtId="0" fontId="9" fillId="36" borderId="172" xfId="5" applyFill="1" applyBorder="1" applyAlignment="1">
      <alignment horizontal="center" vertical="center" wrapText="1"/>
    </xf>
    <xf numFmtId="0" fontId="9" fillId="35" borderId="172" xfId="5" applyFill="1" applyBorder="1" applyAlignment="1">
      <alignment horizontal="center" vertical="center"/>
    </xf>
    <xf numFmtId="174" fontId="1" fillId="5" borderId="135" xfId="0" applyNumberFormat="1" applyFont="1" applyFill="1" applyBorder="1" applyAlignment="1">
      <alignment horizontal="center" vertical="center" shrinkToFit="1"/>
    </xf>
    <xf numFmtId="49" fontId="0" fillId="4" borderId="135" xfId="0" applyNumberFormat="1" applyFont="1" applyFill="1" applyBorder="1" applyAlignment="1">
      <alignment vertical="center" shrinkToFit="1"/>
    </xf>
    <xf numFmtId="49" fontId="0" fillId="4" borderId="136" xfId="0" applyNumberFormat="1" applyFont="1" applyFill="1" applyBorder="1" applyAlignment="1">
      <alignment vertical="center" shrinkToFit="1"/>
    </xf>
    <xf numFmtId="49" fontId="0" fillId="4" borderId="137" xfId="0" applyNumberFormat="1" applyFont="1" applyFill="1" applyBorder="1" applyAlignment="1">
      <alignment vertical="center" shrinkToFit="1"/>
    </xf>
    <xf numFmtId="173" fontId="11" fillId="13" borderId="7" xfId="0" applyNumberFormat="1" applyFont="1" applyFill="1" applyBorder="1" applyAlignment="1">
      <alignment horizontal="center" vertical="center" shrinkToFit="1"/>
    </xf>
    <xf numFmtId="174" fontId="1" fillId="5" borderId="191" xfId="0" applyNumberFormat="1" applyFont="1" applyFill="1" applyBorder="1" applyAlignment="1">
      <alignment horizontal="center" vertical="center" shrinkToFit="1"/>
    </xf>
    <xf numFmtId="49" fontId="0" fillId="4" borderId="191" xfId="0" applyNumberFormat="1" applyFont="1" applyFill="1" applyBorder="1" applyAlignment="1">
      <alignment vertical="center" shrinkToFit="1"/>
    </xf>
    <xf numFmtId="49" fontId="0" fillId="4" borderId="192" xfId="0" applyNumberFormat="1" applyFont="1" applyFill="1" applyBorder="1" applyAlignment="1">
      <alignment vertical="center" shrinkToFit="1"/>
    </xf>
    <xf numFmtId="49" fontId="0" fillId="4" borderId="193" xfId="0" applyNumberFormat="1" applyFont="1" applyFill="1" applyBorder="1" applyAlignment="1">
      <alignment vertical="center" shrinkToFit="1"/>
    </xf>
    <xf numFmtId="173" fontId="11" fillId="13" borderId="3" xfId="0" applyNumberFormat="1" applyFont="1" applyFill="1" applyBorder="1" applyAlignment="1">
      <alignment horizontal="center" vertical="center" shrinkToFit="1"/>
    </xf>
    <xf numFmtId="174" fontId="1" fillId="5" borderId="138" xfId="0" applyNumberFormat="1" applyFont="1" applyFill="1" applyBorder="1" applyAlignment="1">
      <alignment horizontal="center" vertical="center" shrinkToFit="1"/>
    </xf>
    <xf numFmtId="49" fontId="0" fillId="4" borderId="138" xfId="0" applyNumberFormat="1" applyFont="1" applyFill="1" applyBorder="1" applyAlignment="1">
      <alignment vertical="center" shrinkToFit="1"/>
    </xf>
    <xf numFmtId="49" fontId="0" fillId="4" borderId="139" xfId="0" applyNumberFormat="1" applyFont="1" applyFill="1" applyBorder="1" applyAlignment="1">
      <alignment vertical="center" shrinkToFit="1"/>
    </xf>
    <xf numFmtId="49" fontId="0" fillId="4" borderId="140" xfId="0" applyNumberFormat="1" applyFont="1" applyFill="1" applyBorder="1" applyAlignment="1">
      <alignment vertical="center" shrinkToFit="1"/>
    </xf>
    <xf numFmtId="174" fontId="1" fillId="5" borderId="188" xfId="0" applyNumberFormat="1" applyFont="1" applyFill="1" applyBorder="1" applyAlignment="1">
      <alignment horizontal="center" vertical="center" shrinkToFit="1"/>
    </xf>
    <xf numFmtId="49" fontId="0" fillId="4" borderId="188" xfId="0" applyNumberFormat="1" applyFont="1" applyFill="1" applyBorder="1" applyAlignment="1">
      <alignment vertical="center" shrinkToFit="1"/>
    </xf>
    <xf numFmtId="49" fontId="0" fillId="4" borderId="189" xfId="0" applyNumberFormat="1" applyFont="1" applyFill="1" applyBorder="1" applyAlignment="1">
      <alignment vertical="center" shrinkToFit="1"/>
    </xf>
    <xf numFmtId="49" fontId="0" fillId="4" borderId="190" xfId="0" applyNumberFormat="1" applyFont="1" applyFill="1" applyBorder="1" applyAlignment="1">
      <alignment vertical="center" shrinkToFit="1"/>
    </xf>
    <xf numFmtId="173" fontId="11" fillId="13" borderId="4" xfId="0" applyNumberFormat="1" applyFont="1" applyFill="1" applyBorder="1" applyAlignment="1">
      <alignment horizontal="center" vertical="center" shrinkToFit="1"/>
    </xf>
    <xf numFmtId="174" fontId="1" fillId="5" borderId="141" xfId="0" applyNumberFormat="1" applyFont="1" applyFill="1" applyBorder="1" applyAlignment="1">
      <alignment horizontal="center" vertical="center" shrinkToFit="1"/>
    </xf>
    <xf numFmtId="49" fontId="0" fillId="4" borderId="141" xfId="0" applyNumberFormat="1" applyFont="1" applyFill="1" applyBorder="1" applyAlignment="1">
      <alignment vertical="center" shrinkToFit="1"/>
    </xf>
    <xf numFmtId="49" fontId="0" fillId="4" borderId="142" xfId="0" applyNumberFormat="1" applyFont="1" applyFill="1" applyBorder="1" applyAlignment="1">
      <alignment vertical="center" shrinkToFit="1"/>
    </xf>
    <xf numFmtId="49" fontId="0" fillId="4" borderId="143" xfId="0" applyNumberFormat="1" applyFont="1" applyFill="1" applyBorder="1" applyAlignment="1">
      <alignment vertical="center" shrinkToFit="1"/>
    </xf>
    <xf numFmtId="0" fontId="22" fillId="27" borderId="21" xfId="0" applyNumberFormat="1" applyFont="1" applyFill="1" applyBorder="1" applyAlignment="1">
      <alignment horizontal="center" vertical="center" shrinkToFit="1"/>
    </xf>
    <xf numFmtId="0" fontId="113" fillId="0" borderId="0" xfId="0" applyFont="1">
      <alignment vertical="center"/>
    </xf>
    <xf numFmtId="169" fontId="113" fillId="4" borderId="21" xfId="0" applyNumberFormat="1" applyFont="1" applyFill="1" applyBorder="1" applyAlignment="1">
      <alignment horizontal="center" vertical="center" shrinkToFit="1"/>
    </xf>
    <xf numFmtId="0" fontId="2" fillId="9" borderId="21" xfId="0" applyFont="1" applyFill="1" applyBorder="1" applyAlignment="1">
      <alignment vertical="center"/>
    </xf>
    <xf numFmtId="0" fontId="2" fillId="4" borderId="27" xfId="0" applyFont="1" applyFill="1" applyBorder="1" applyAlignment="1">
      <alignment horizontal="center" vertical="center"/>
    </xf>
    <xf numFmtId="0" fontId="2" fillId="4" borderId="20" xfId="0" applyFont="1" applyFill="1" applyBorder="1" applyAlignment="1">
      <alignment horizontal="center" vertical="center"/>
    </xf>
    <xf numFmtId="14" fontId="2" fillId="5" borderId="20" xfId="0" applyNumberFormat="1" applyFont="1" applyFill="1" applyBorder="1" applyAlignment="1">
      <alignment horizontal="center" vertical="center"/>
    </xf>
    <xf numFmtId="0" fontId="2" fillId="5" borderId="20" xfId="0" applyFont="1" applyFill="1" applyBorder="1" applyAlignment="1">
      <alignment horizontal="center" vertical="center"/>
    </xf>
    <xf numFmtId="0" fontId="2" fillId="0" borderId="21" xfId="0" applyFont="1" applyBorder="1" applyAlignment="1">
      <alignment vertical="center"/>
    </xf>
    <xf numFmtId="0" fontId="2" fillId="0" borderId="133" xfId="0" applyFont="1" applyBorder="1" applyAlignment="1">
      <alignment vertical="center"/>
    </xf>
    <xf numFmtId="0" fontId="2" fillId="0" borderId="27" xfId="0" applyFont="1" applyBorder="1" applyAlignment="1">
      <alignment vertical="center"/>
    </xf>
    <xf numFmtId="0" fontId="2" fillId="15" borderId="23" xfId="0" applyFont="1" applyFill="1" applyBorder="1" applyAlignment="1">
      <alignment vertical="center"/>
    </xf>
    <xf numFmtId="0" fontId="2" fillId="4" borderId="194" xfId="0" applyFont="1" applyFill="1" applyBorder="1" applyAlignment="1">
      <alignment horizontal="center" vertical="center"/>
    </xf>
    <xf numFmtId="14" fontId="2" fillId="5" borderId="194" xfId="0" applyNumberFormat="1" applyFont="1" applyFill="1" applyBorder="1" applyAlignment="1">
      <alignment horizontal="center" vertical="center"/>
    </xf>
    <xf numFmtId="0" fontId="2" fillId="5" borderId="194" xfId="0" applyFont="1" applyFill="1" applyBorder="1" applyAlignment="1">
      <alignment horizontal="center" vertical="center"/>
    </xf>
    <xf numFmtId="0" fontId="1" fillId="4" borderId="195" xfId="0" applyFont="1" applyFill="1" applyBorder="1" applyAlignment="1">
      <alignment horizontal="center" vertical="center"/>
    </xf>
    <xf numFmtId="0" fontId="2" fillId="0" borderId="196" xfId="0" applyFont="1" applyBorder="1" applyAlignment="1">
      <alignment vertical="center"/>
    </xf>
    <xf numFmtId="0" fontId="1" fillId="11" borderId="196" xfId="0" applyNumberFormat="1" applyFont="1" applyFill="1" applyBorder="1" applyAlignment="1">
      <alignment horizontal="center" vertical="center" shrinkToFit="1"/>
    </xf>
    <xf numFmtId="0" fontId="1" fillId="11" borderId="196" xfId="0" applyNumberFormat="1" applyFont="1" applyFill="1" applyBorder="1" applyAlignment="1">
      <alignment horizontal="left" vertical="center" shrinkToFit="1"/>
    </xf>
    <xf numFmtId="175" fontId="26" fillId="26" borderId="196" xfId="0" applyNumberFormat="1" applyFont="1" applyFill="1" applyBorder="1" applyAlignment="1">
      <alignment horizontal="center" vertical="center" shrinkToFit="1"/>
    </xf>
    <xf numFmtId="180" fontId="26" fillId="4" borderId="196" xfId="0" applyNumberFormat="1" applyFont="1" applyFill="1" applyBorder="1" applyAlignment="1">
      <alignment horizontal="center" vertical="center" shrinkToFit="1"/>
    </xf>
    <xf numFmtId="175" fontId="31" fillId="26" borderId="196" xfId="0" applyNumberFormat="1" applyFont="1" applyFill="1" applyBorder="1" applyAlignment="1">
      <alignment horizontal="center" vertical="center" shrinkToFit="1"/>
    </xf>
    <xf numFmtId="180" fontId="1" fillId="4" borderId="196" xfId="0" applyNumberFormat="1" applyFont="1" applyFill="1" applyBorder="1" applyAlignment="1">
      <alignment horizontal="center" vertical="center" shrinkToFit="1"/>
    </xf>
    <xf numFmtId="9" fontId="1" fillId="4" borderId="196" xfId="0" applyNumberFormat="1" applyFont="1" applyFill="1" applyBorder="1" applyAlignment="1">
      <alignment horizontal="center" vertical="center" shrinkToFit="1"/>
    </xf>
    <xf numFmtId="169" fontId="1" fillId="4" borderId="196" xfId="0" applyNumberFormat="1" applyFont="1" applyFill="1" applyBorder="1" applyAlignment="1">
      <alignment horizontal="center" vertical="center" shrinkToFit="1"/>
    </xf>
    <xf numFmtId="0" fontId="1" fillId="4" borderId="134" xfId="0" applyNumberFormat="1" applyFont="1" applyFill="1" applyBorder="1" applyAlignment="1">
      <alignment horizontal="left" vertical="center" shrinkToFit="1"/>
    </xf>
    <xf numFmtId="0" fontId="2" fillId="15" borderId="21" xfId="0" applyFont="1" applyFill="1" applyBorder="1" applyAlignment="1">
      <alignment vertical="center"/>
    </xf>
    <xf numFmtId="0" fontId="2" fillId="6" borderId="196" xfId="0" applyFont="1" applyFill="1" applyBorder="1" applyAlignment="1">
      <alignment vertical="center"/>
    </xf>
    <xf numFmtId="0" fontId="8" fillId="11" borderId="10" xfId="0" applyNumberFormat="1" applyFont="1" applyFill="1" applyBorder="1" applyAlignment="1">
      <alignment horizontal="left" vertical="center" shrinkToFit="1"/>
    </xf>
    <xf numFmtId="49" fontId="0" fillId="4" borderId="199" xfId="0" applyNumberFormat="1" applyFont="1" applyFill="1" applyBorder="1" applyAlignment="1">
      <alignment vertical="center" shrinkToFit="1"/>
    </xf>
    <xf numFmtId="49" fontId="0" fillId="4" borderId="201" xfId="0" applyNumberFormat="1" applyFont="1" applyFill="1" applyBorder="1" applyAlignment="1">
      <alignment vertical="center" shrinkToFit="1"/>
    </xf>
    <xf numFmtId="49" fontId="0" fillId="4" borderId="197" xfId="0" applyNumberFormat="1" applyFont="1" applyFill="1" applyBorder="1" applyAlignment="1">
      <alignment vertical="center" shrinkToFit="1"/>
    </xf>
    <xf numFmtId="49" fontId="0" fillId="4" borderId="198" xfId="0" applyNumberFormat="1" applyFont="1" applyFill="1" applyBorder="1" applyAlignment="1">
      <alignment vertical="center" shrinkToFit="1"/>
    </xf>
    <xf numFmtId="49" fontId="0" fillId="4" borderId="200" xfId="0" applyNumberFormat="1" applyFont="1" applyFill="1" applyBorder="1" applyAlignment="1">
      <alignment vertical="center" shrinkToFit="1"/>
    </xf>
    <xf numFmtId="0" fontId="114" fillId="11" borderId="10" xfId="0" applyNumberFormat="1" applyFont="1" applyFill="1" applyBorder="1" applyAlignment="1">
      <alignment horizontal="left" vertical="center" shrinkToFit="1"/>
    </xf>
    <xf numFmtId="180" fontId="115" fillId="4" borderId="21" xfId="0" applyNumberFormat="1" applyFont="1" applyFill="1" applyBorder="1" applyAlignment="1">
      <alignment horizontal="center" vertical="center" shrinkToFit="1"/>
    </xf>
    <xf numFmtId="180" fontId="115" fillId="4" borderId="196" xfId="0" applyNumberFormat="1" applyFont="1" applyFill="1" applyBorder="1" applyAlignment="1">
      <alignment horizontal="center" vertical="center" shrinkToFit="1"/>
    </xf>
    <xf numFmtId="0" fontId="22" fillId="27" borderId="196" xfId="0" applyNumberFormat="1" applyFont="1" applyFill="1" applyBorder="1" applyAlignment="1">
      <alignment horizontal="center" vertical="center" shrinkToFit="1"/>
    </xf>
    <xf numFmtId="168" fontId="48" fillId="0" borderId="0" xfId="0" applyNumberFormat="1" applyFont="1" applyFill="1" applyBorder="1" applyAlignment="1">
      <alignment horizontal="left" vertical="center"/>
    </xf>
    <xf numFmtId="168" fontId="48" fillId="0" borderId="0" xfId="0" applyNumberFormat="1" applyFont="1" applyBorder="1" applyAlignment="1">
      <alignment horizontal="left" vertical="center"/>
    </xf>
    <xf numFmtId="168" fontId="58" fillId="0" borderId="0" xfId="0" applyNumberFormat="1" applyFont="1" applyAlignment="1">
      <alignment vertical="center"/>
    </xf>
    <xf numFmtId="0" fontId="0" fillId="0" borderId="0" xfId="0" applyAlignment="1">
      <alignment vertical="center"/>
    </xf>
    <xf numFmtId="0" fontId="15" fillId="0" borderId="146" xfId="0" applyFont="1" applyFill="1" applyBorder="1" applyAlignment="1" applyProtection="1">
      <alignment vertical="center" shrinkToFit="1"/>
    </xf>
    <xf numFmtId="0" fontId="0" fillId="0" borderId="146" xfId="0" applyBorder="1" applyAlignment="1">
      <alignment vertical="center" shrinkToFit="1"/>
    </xf>
    <xf numFmtId="0" fontId="15" fillId="0" borderId="0" xfId="0" applyFont="1" applyFill="1" applyBorder="1" applyAlignment="1" applyProtection="1">
      <alignment vertical="center" shrinkToFit="1"/>
    </xf>
    <xf numFmtId="0" fontId="0" fillId="0" borderId="0" xfId="0" applyAlignment="1">
      <alignment vertical="center" shrinkToFit="1"/>
    </xf>
    <xf numFmtId="0" fontId="2" fillId="26" borderId="111" xfId="0" applyFont="1" applyFill="1" applyBorder="1" applyAlignment="1" applyProtection="1">
      <alignment vertical="center" shrinkToFit="1"/>
      <protection locked="0"/>
    </xf>
    <xf numFmtId="0" fontId="0" fillId="0" borderId="153" xfId="0" applyBorder="1" applyAlignment="1" applyProtection="1">
      <alignment vertical="center"/>
      <protection locked="0"/>
    </xf>
    <xf numFmtId="0" fontId="16" fillId="26" borderId="154" xfId="0" applyFont="1" applyFill="1" applyBorder="1" applyAlignment="1" applyProtection="1">
      <alignment horizontal="left" vertical="center" shrinkToFit="1"/>
      <protection locked="0"/>
    </xf>
    <xf numFmtId="0" fontId="0" fillId="0" borderId="155" xfId="0" applyBorder="1" applyAlignment="1" applyProtection="1">
      <alignment horizontal="left" vertical="center" shrinkToFit="1"/>
      <protection locked="0"/>
    </xf>
    <xf numFmtId="0" fontId="2" fillId="26" borderId="156" xfId="0" applyFont="1" applyFill="1" applyBorder="1" applyAlignment="1" applyProtection="1">
      <alignment horizontal="center" vertical="center" shrinkToFit="1"/>
      <protection locked="0"/>
    </xf>
    <xf numFmtId="0" fontId="0" fillId="0" borderId="155" xfId="0" applyBorder="1" applyAlignment="1" applyProtection="1">
      <alignment horizontal="center" vertical="center"/>
      <protection locked="0"/>
    </xf>
    <xf numFmtId="0" fontId="16" fillId="26" borderId="5" xfId="0" applyFont="1" applyFill="1" applyBorder="1" applyAlignment="1" applyProtection="1">
      <alignment horizontal="left" vertical="center" shrinkToFit="1"/>
      <protection locked="0"/>
    </xf>
    <xf numFmtId="0" fontId="0" fillId="0" borderId="157" xfId="0" applyBorder="1" applyAlignment="1" applyProtection="1">
      <alignment horizontal="left" vertical="center" shrinkToFit="1"/>
      <protection locked="0"/>
    </xf>
    <xf numFmtId="0" fontId="58" fillId="26" borderId="158" xfId="0" applyFont="1" applyFill="1" applyBorder="1" applyAlignment="1" applyProtection="1">
      <alignment horizontal="right" vertical="center"/>
      <protection locked="0"/>
    </xf>
    <xf numFmtId="0" fontId="58" fillId="0" borderId="159" xfId="0" applyFont="1" applyBorder="1" applyAlignment="1" applyProtection="1">
      <alignment horizontal="right" vertical="center"/>
      <protection locked="0"/>
    </xf>
    <xf numFmtId="0" fontId="41" fillId="4" borderId="132" xfId="0" applyNumberFormat="1" applyFont="1" applyFill="1" applyBorder="1" applyAlignment="1" applyProtection="1">
      <alignment vertical="center"/>
      <protection locked="0"/>
    </xf>
    <xf numFmtId="0" fontId="41" fillId="4" borderId="147" xfId="0" applyFont="1" applyFill="1" applyBorder="1" applyAlignment="1" applyProtection="1">
      <alignment vertical="center"/>
      <protection locked="0"/>
    </xf>
    <xf numFmtId="0" fontId="41" fillId="4" borderId="148" xfId="0" applyFont="1" applyFill="1" applyBorder="1" applyAlignment="1" applyProtection="1">
      <alignment vertical="center"/>
      <protection locked="0"/>
    </xf>
    <xf numFmtId="0" fontId="60" fillId="3" borderId="127" xfId="0" applyNumberFormat="1" applyFont="1" applyFill="1" applyBorder="1" applyAlignment="1" applyProtection="1">
      <alignment vertical="center"/>
    </xf>
    <xf numFmtId="0" fontId="0" fillId="0" borderId="90" xfId="0" applyBorder="1" applyAlignment="1">
      <alignment vertical="center"/>
    </xf>
    <xf numFmtId="0" fontId="0" fillId="0" borderId="149" xfId="0" applyBorder="1" applyAlignment="1">
      <alignment vertical="center"/>
    </xf>
    <xf numFmtId="0" fontId="61" fillId="4" borderId="150" xfId="0" applyNumberFormat="1" applyFont="1" applyFill="1" applyBorder="1" applyAlignment="1" applyProtection="1">
      <alignment vertical="center"/>
      <protection locked="0"/>
    </xf>
    <xf numFmtId="0" fontId="61" fillId="4" borderId="151" xfId="0" applyFont="1" applyFill="1" applyBorder="1" applyAlignment="1" applyProtection="1">
      <alignment vertical="center"/>
      <protection locked="0"/>
    </xf>
    <xf numFmtId="0" fontId="61" fillId="4" borderId="152" xfId="0" applyFont="1" applyFill="1" applyBorder="1" applyAlignment="1" applyProtection="1">
      <alignment vertical="center"/>
      <protection locked="0"/>
    </xf>
    <xf numFmtId="0" fontId="61" fillId="4" borderId="130" xfId="0" applyNumberFormat="1" applyFont="1" applyFill="1" applyBorder="1" applyAlignment="1" applyProtection="1">
      <alignment vertical="center"/>
      <protection locked="0"/>
    </xf>
    <xf numFmtId="0" fontId="61" fillId="4" borderId="144" xfId="0" applyFont="1" applyFill="1" applyBorder="1" applyAlignment="1" applyProtection="1">
      <alignment vertical="center"/>
      <protection locked="0"/>
    </xf>
    <xf numFmtId="0" fontId="61" fillId="4" borderId="145" xfId="0" applyFont="1" applyFill="1" applyBorder="1" applyAlignment="1" applyProtection="1">
      <alignment vertical="center"/>
      <protection locked="0"/>
    </xf>
    <xf numFmtId="0" fontId="12" fillId="4" borderId="130" xfId="0" applyNumberFormat="1" applyFont="1" applyFill="1" applyBorder="1" applyAlignment="1" applyProtection="1">
      <alignment vertical="center"/>
      <protection locked="0"/>
    </xf>
    <xf numFmtId="0" fontId="12" fillId="4" borderId="144" xfId="0" applyFont="1" applyFill="1" applyBorder="1" applyAlignment="1" applyProtection="1">
      <alignment vertical="center"/>
      <protection locked="0"/>
    </xf>
    <xf numFmtId="0" fontId="12" fillId="4" borderId="145" xfId="0" applyFont="1" applyFill="1" applyBorder="1" applyAlignment="1" applyProtection="1">
      <alignment vertical="center"/>
      <protection locked="0"/>
    </xf>
    <xf numFmtId="0" fontId="41" fillId="4" borderId="130" xfId="0" applyNumberFormat="1" applyFont="1" applyFill="1" applyBorder="1" applyAlignment="1" applyProtection="1">
      <alignment vertical="center"/>
      <protection locked="0"/>
    </xf>
    <xf numFmtId="0" fontId="41" fillId="4" borderId="144" xfId="0" applyFont="1" applyFill="1" applyBorder="1" applyAlignment="1" applyProtection="1">
      <alignment vertical="center"/>
      <protection locked="0"/>
    </xf>
    <xf numFmtId="0" fontId="41" fillId="4" borderId="145" xfId="0" applyFont="1" applyFill="1" applyBorder="1" applyAlignment="1" applyProtection="1">
      <alignment vertical="center"/>
      <protection locked="0"/>
    </xf>
    <xf numFmtId="0" fontId="9" fillId="0" borderId="19" xfId="5" applyBorder="1" applyAlignment="1">
      <alignment horizontal="center" vertical="center" wrapText="1"/>
    </xf>
    <xf numFmtId="0" fontId="9" fillId="0" borderId="26" xfId="5" applyBorder="1" applyAlignment="1">
      <alignment horizontal="center" vertical="center" wrapText="1"/>
    </xf>
    <xf numFmtId="0" fontId="9" fillId="0" borderId="26" xfId="5" applyBorder="1" applyAlignment="1">
      <alignment horizontal="center" vertical="center"/>
    </xf>
  </cellXfs>
  <cellStyles count="135">
    <cellStyle name="_本番環境" xfId="6"/>
    <cellStyle name="_x0001_+_x0001_+_x0001_+_x0001_+_x0001_+_x0001_+_x0001_+_x0001_+_x0001_+_x0001_+_x0001_+_x0001_+_x0001_+_x0001_+_x0001_+_x0001_+_x0001_+_x0001_+_x0001_+_x0001_+_x0001_+_x0001_" xfId="7"/>
    <cellStyle name="20% - アクセント 1 2" xfId="8"/>
    <cellStyle name="20% - アクセント 2 2" xfId="9"/>
    <cellStyle name="20% - アクセント 3 2" xfId="10"/>
    <cellStyle name="20% - アクセント 4 2" xfId="11"/>
    <cellStyle name="20% - アクセント 5 2" xfId="12"/>
    <cellStyle name="20% - アクセント 6 2" xfId="13"/>
    <cellStyle name="40% - アクセント 1 2" xfId="14"/>
    <cellStyle name="40% - アクセント 2 2" xfId="15"/>
    <cellStyle name="40% - アクセント 3 2" xfId="16"/>
    <cellStyle name="40% - アクセント 4 2" xfId="17"/>
    <cellStyle name="40% - アクセント 5 2" xfId="18"/>
    <cellStyle name="40% - アクセント 6 2" xfId="19"/>
    <cellStyle name="60% - アクセント 1 2" xfId="20"/>
    <cellStyle name="60% - アクセント 2 2" xfId="21"/>
    <cellStyle name="60% - アクセント 3 2" xfId="22"/>
    <cellStyle name="60% - アクセント 4 2" xfId="23"/>
    <cellStyle name="60% - アクセント 5 2" xfId="24"/>
    <cellStyle name="60% - アクセント 6 2" xfId="25"/>
    <cellStyle name="Calc Currency (0)" xfId="26"/>
    <cellStyle name="Comma [0]" xfId="27"/>
    <cellStyle name="Comma0 - Modelo1" xfId="28"/>
    <cellStyle name="Comma0 - Style1" xfId="29"/>
    <cellStyle name="Comma1 - Modelo2" xfId="30"/>
    <cellStyle name="Comma1 - Style2" xfId="31"/>
    <cellStyle name="Currency [0]" xfId="32"/>
    <cellStyle name="Dia" xfId="33"/>
    <cellStyle name="Encabez1" xfId="34"/>
    <cellStyle name="Encabez2" xfId="35"/>
    <cellStyle name="entry" xfId="36"/>
    <cellStyle name="F2" xfId="37"/>
    <cellStyle name="F3" xfId="38"/>
    <cellStyle name="F4" xfId="39"/>
    <cellStyle name="F5" xfId="40"/>
    <cellStyle name="F6" xfId="41"/>
    <cellStyle name="F7" xfId="42"/>
    <cellStyle name="F8" xfId="43"/>
    <cellStyle name="Fijo" xfId="44"/>
    <cellStyle name="Financiero" xfId="45"/>
    <cellStyle name="Grey" xfId="46"/>
    <cellStyle name="Header1" xfId="47"/>
    <cellStyle name="Header2" xfId="48"/>
    <cellStyle name="IBM(401K)" xfId="49"/>
    <cellStyle name="Input [yellow]" xfId="50"/>
    <cellStyle name="J401K" xfId="51"/>
    <cellStyle name="jmc1" xfId="52"/>
    <cellStyle name="MFPStyle_Title" xfId="53"/>
    <cellStyle name="Millares [0]_10 AVERIAS MASIVAS + ANT" xfId="54"/>
    <cellStyle name="Millares_10 AVERIAS MASIVAS + ANT" xfId="55"/>
    <cellStyle name="Milliers [0]_AR1194" xfId="56"/>
    <cellStyle name="Milliers_AR1194" xfId="57"/>
    <cellStyle name="Moneda [0]_10 AVERIAS MASIVAS + ANT" xfId="58"/>
    <cellStyle name="Moneda_10 AVERIAS MASIVAS + ANT" xfId="59"/>
    <cellStyle name="Monetario" xfId="60"/>
    <cellStyle name="Mon騁aire [0]_AR1194" xfId="61"/>
    <cellStyle name="Mon騁aire_AR1194" xfId="62"/>
    <cellStyle name="no dec" xfId="63"/>
    <cellStyle name="Normal" xfId="0" builtinId="0"/>
    <cellStyle name="Normal - Style1" xfId="64"/>
    <cellStyle name="Normale_2000S TPI TARIFF" xfId="65"/>
    <cellStyle name="NUMERO" xfId="66"/>
    <cellStyle name="Percent [2]" xfId="67"/>
    <cellStyle name="Porcentaje" xfId="68"/>
    <cellStyle name="price" xfId="69"/>
    <cellStyle name="revised" xfId="70"/>
    <cellStyle name="RM" xfId="71"/>
    <cellStyle name="section" xfId="72"/>
    <cellStyle name="subhead" xfId="73"/>
    <cellStyle name="title" xfId="74"/>
    <cellStyle name="Total" xfId="75"/>
    <cellStyle name="アクセント 1 2" xfId="76"/>
    <cellStyle name="アクセント 2 2" xfId="77"/>
    <cellStyle name="アクセント 3 2" xfId="78"/>
    <cellStyle name="アクセント 4 2" xfId="79"/>
    <cellStyle name="アクセント 5 2" xfId="80"/>
    <cellStyle name="アクセント 6 2" xfId="81"/>
    <cellStyle name="スタイル 1" xfId="82"/>
    <cellStyle name="スタイル 2" xfId="83"/>
    <cellStyle name="タイトル 2" xfId="84"/>
    <cellStyle name="チェック セル 2" xfId="85"/>
    <cellStyle name="どちらでもない 2" xfId="86"/>
    <cellStyle name="パーセント 2" xfId="87"/>
    <cellStyle name="メモ 2" xfId="88"/>
    <cellStyle name="リソース表" xfId="89"/>
    <cellStyle name="リンク セル 2" xfId="90"/>
    <cellStyle name="一覧表書式_タイトル" xfId="1"/>
    <cellStyle name="下1赤" xfId="92"/>
    <cellStyle name="下点線" xfId="93"/>
    <cellStyle name="入力 2" xfId="110"/>
    <cellStyle name="出力 2" xfId="104"/>
    <cellStyle name="悪い 2" xfId="91"/>
    <cellStyle name="文字上詰め（折り返し）" xfId="129"/>
    <cellStyle name="文字上詰め（折り返しなし）" xfId="130"/>
    <cellStyle name="文字下詰め（折り返し）" xfId="127"/>
    <cellStyle name="文字下詰め（折り返しなし）" xfId="128"/>
    <cellStyle name="明細行" xfId="132"/>
    <cellStyle name="明細部" xfId="133"/>
    <cellStyle name="未定義" xfId="131"/>
    <cellStyle name="桁区切り [##.##]" xfId="96"/>
    <cellStyle name="桁区切り [0.0]" xfId="97"/>
    <cellStyle name="標・_HTL99S" xfId="111"/>
    <cellStyle name="標準 10" xfId="112"/>
    <cellStyle name="標準 11" xfId="113"/>
    <cellStyle name="標準 11 2" xfId="2"/>
    <cellStyle name="標準 12" xfId="114"/>
    <cellStyle name="標準 13" xfId="115"/>
    <cellStyle name="標準 14" xfId="116"/>
    <cellStyle name="標準 2" xfId="5"/>
    <cellStyle name="標準 2 2" xfId="117"/>
    <cellStyle name="標準 2 3" xfId="118"/>
    <cellStyle name="標準 2 4" xfId="3"/>
    <cellStyle name="標準 3" xfId="119"/>
    <cellStyle name="標準 4" xfId="120"/>
    <cellStyle name="標準 5" xfId="121"/>
    <cellStyle name="標準 6" xfId="122"/>
    <cellStyle name="標準 7" xfId="123"/>
    <cellStyle name="標準 8" xfId="124"/>
    <cellStyle name="標準 9" xfId="125"/>
    <cellStyle name="標準_フローティング横棒グラフ00" xfId="4"/>
    <cellStyle name="標準上詰め（折り返し）" xfId="126"/>
    <cellStyle name="点以下1" xfId="109"/>
    <cellStyle name="脱浦 [0.00]_1124" xfId="107"/>
    <cellStyle name="脱浦_1124" xfId="108"/>
    <cellStyle name="良い 2" xfId="134"/>
    <cellStyle name="見出し" xfId="98"/>
    <cellStyle name="見出し 1 2" xfId="99"/>
    <cellStyle name="見出し 2 2" xfId="100"/>
    <cellStyle name="見出し 3 2" xfId="101"/>
    <cellStyle name="見出し 4 2" xfId="102"/>
    <cellStyle name="計算 2" xfId="94"/>
    <cellStyle name="説明文 2" xfId="106"/>
    <cellStyle name="警告文 2" xfId="95"/>
    <cellStyle name="赤%" xfId="105"/>
    <cellStyle name="集計 2" xfId="103"/>
  </cellStyles>
  <dxfs count="2">
    <dxf>
      <font>
        <condense val="0"/>
        <extend val="0"/>
        <color indexed="55"/>
      </font>
      <fill>
        <patternFill>
          <bgColor indexed="22"/>
        </patternFill>
      </fill>
    </dxf>
    <dxf>
      <font>
        <condense val="0"/>
        <extend val="0"/>
        <color indexed="23"/>
      </font>
      <fill>
        <patternFill>
          <bgColor indexed="5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drawings/_rels/drawing4.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 Id="rId5" Type="http://schemas.openxmlformats.org/officeDocument/2006/relationships/image" Target="../media/image8.emf"/><Relationship Id="rId4"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4.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image" Target="../media/image21.emf"/><Relationship Id="rId7" Type="http://schemas.openxmlformats.org/officeDocument/2006/relationships/image" Target="../media/image17.emf"/><Relationship Id="rId2" Type="http://schemas.openxmlformats.org/officeDocument/2006/relationships/image" Target="../media/image22.emf"/><Relationship Id="rId1" Type="http://schemas.openxmlformats.org/officeDocument/2006/relationships/image" Target="../media/image23.emf"/><Relationship Id="rId6" Type="http://schemas.openxmlformats.org/officeDocument/2006/relationships/image" Target="../media/image18.emf"/><Relationship Id="rId5" Type="http://schemas.openxmlformats.org/officeDocument/2006/relationships/image" Target="../media/image19.emf"/><Relationship Id="rId4" Type="http://schemas.openxmlformats.org/officeDocument/2006/relationships/image" Target="../media/image20.emf"/><Relationship Id="rId9"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856690</xdr:colOff>
          <xdr:row>1</xdr:row>
          <xdr:rowOff>46504</xdr:rowOff>
        </xdr:from>
        <xdr:to>
          <xdr:col>4</xdr:col>
          <xdr:colOff>1513915</xdr:colOff>
          <xdr:row>1</xdr:row>
          <xdr:rowOff>346262</xdr:rowOff>
        </xdr:to>
        <xdr:sp macro="" textlink="">
          <xdr:nvSpPr>
            <xdr:cNvPr id="1025" name="BTN_SortEx1Disp" hidden="1">
              <a:extLst>
                <a:ext uri="{63B3BB69-23CF-44E3-9099-C40C66FF867C}">
                  <a14:compatExt spid="_x0000_s102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1532965</xdr:colOff>
          <xdr:row>1</xdr:row>
          <xdr:rowOff>46504</xdr:rowOff>
        </xdr:from>
        <xdr:to>
          <xdr:col>4</xdr:col>
          <xdr:colOff>2190190</xdr:colOff>
          <xdr:row>1</xdr:row>
          <xdr:rowOff>346262</xdr:rowOff>
        </xdr:to>
        <xdr:sp macro="" textlink="">
          <xdr:nvSpPr>
            <xdr:cNvPr id="1026" name="BTN_SortEx2Disp" hidden="1">
              <a:extLst>
                <a:ext uri="{63B3BB69-23CF-44E3-9099-C40C66FF867C}">
                  <a14:compatExt spid="_x0000_s102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170890</xdr:colOff>
          <xdr:row>1</xdr:row>
          <xdr:rowOff>46504</xdr:rowOff>
        </xdr:from>
        <xdr:to>
          <xdr:col>4</xdr:col>
          <xdr:colOff>828115</xdr:colOff>
          <xdr:row>1</xdr:row>
          <xdr:rowOff>346262</xdr:rowOff>
        </xdr:to>
        <xdr:sp macro="" textlink="">
          <xdr:nvSpPr>
            <xdr:cNvPr id="1027" name="BTN_SortAllDisp" hidden="1">
              <a:extLst>
                <a:ext uri="{63B3BB69-23CF-44E3-9099-C40C66FF867C}">
                  <a14:compatExt spid="_x0000_s1027"/>
                </a:ext>
              </a:extLst>
            </xdr:cNvPr>
            <xdr:cNvSpPr/>
          </xdr:nvSpPr>
          <xdr:spPr>
            <a:xfrm>
              <a:off x="0" y="0"/>
              <a:ext cx="0" cy="0"/>
            </a:xfrm>
            <a:prstGeom prst="rect">
              <a:avLst/>
            </a:prstGeom>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46504</xdr:rowOff>
        </xdr:from>
        <xdr:to>
          <xdr:col>2</xdr:col>
          <xdr:colOff>16249</xdr:colOff>
          <xdr:row>1</xdr:row>
          <xdr:rowOff>346262</xdr:rowOff>
        </xdr:to>
        <xdr:sp macro="" textlink="">
          <xdr:nvSpPr>
            <xdr:cNvPr id="1028" name="BTN_MenuWndDisp" hidden="1">
              <a:extLst>
                <a:ext uri="{63B3BB69-23CF-44E3-9099-C40C66FF867C}">
                  <a14:compatExt spid="_x0000_s102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1</xdr:row>
          <xdr:rowOff>47625</xdr:rowOff>
        </xdr:from>
        <xdr:to>
          <xdr:col>4</xdr:col>
          <xdr:colOff>142875</xdr:colOff>
          <xdr:row>2</xdr:row>
          <xdr:rowOff>19050</xdr:rowOff>
        </xdr:to>
        <xdr:sp macro="" textlink="">
          <xdr:nvSpPr>
            <xdr:cNvPr id="26623" name="BTN_TodoAllDisp" hidden="1">
              <a:extLst>
                <a:ext uri="{63B3BB69-23CF-44E3-9099-C40C66FF867C}">
                  <a14:compatExt spid="_x0000_s2662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xdr:row>
          <xdr:rowOff>47625</xdr:rowOff>
        </xdr:from>
        <xdr:to>
          <xdr:col>3</xdr:col>
          <xdr:colOff>66675</xdr:colOff>
          <xdr:row>2</xdr:row>
          <xdr:rowOff>19050</xdr:rowOff>
        </xdr:to>
        <xdr:sp macro="" textlink="">
          <xdr:nvSpPr>
            <xdr:cNvPr id="72543" name="BTN_TaskWndDisp" hidden="1">
              <a:extLst>
                <a:ext uri="{63B3BB69-23CF-44E3-9099-C40C66FF867C}">
                  <a14:compatExt spid="_x0000_s72543"/>
                </a:ext>
              </a:extLst>
            </xdr:cNvPr>
            <xdr:cNvSpPr/>
          </xdr:nvSpPr>
          <xdr:spPr>
            <a:xfrm>
              <a:off x="0" y="0"/>
              <a:ext cx="0" cy="0"/>
            </a:xfrm>
            <a:prstGeom prst="rect">
              <a:avLst/>
            </a:prstGeom>
          </xdr:spPr>
        </xdr:sp>
        <xdr:clientData fPrintsWithSheet="0"/>
      </xdr:twoCellAnchor>
    </mc:Choice>
    <mc:Fallback/>
  </mc:AlternateContent>
  <xdr:twoCellAnchor>
    <xdr:from>
      <xdr:col>22</xdr:col>
      <xdr:colOff>6350</xdr:colOff>
      <xdr:row>5</xdr:row>
      <xdr:rowOff>1</xdr:rowOff>
    </xdr:from>
    <xdr:to>
      <xdr:col>31</xdr:col>
      <xdr:colOff>108840</xdr:colOff>
      <xdr:row>6</xdr:row>
      <xdr:rowOff>0</xdr:rowOff>
    </xdr:to>
    <xdr:sp macro="" textlink="">
      <xdr:nvSpPr>
        <xdr:cNvPr id="74456" name="6Graph"/>
        <xdr:cNvSpPr/>
      </xdr:nvSpPr>
      <xdr:spPr>
        <a:xfrm>
          <a:off x="13655115" y="1266266"/>
          <a:ext cx="3531490" cy="246528"/>
        </a:xfrm>
        <a:prstGeom prst="chevron">
          <a:avLst>
            <a:gd name="adj" fmla="val 96494"/>
          </a:avLst>
        </a:prstGeom>
        <a:gradFill flip="none" rotWithShape="1">
          <a:gsLst>
            <a:gs pos="0">
              <a:srgbClr val="4C6680"/>
            </a:gs>
            <a:gs pos="50000">
              <a:srgbClr val="FFFFFF"/>
            </a:gs>
            <a:gs pos="100000">
              <a:srgbClr val="CCE6FF"/>
            </a:gs>
          </a:gsLst>
          <a:lin ang="5400000" scaled="1"/>
          <a:tileRect/>
        </a:gra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kumimoji="1" lang="ja-JP" altLang="en-US" sz="1000">
              <a:solidFill>
                <a:srgbClr val="000000"/>
              </a:solidFill>
            </a:rPr>
            <a:t>開発・単体</a:t>
          </a:r>
        </a:p>
      </xdr:txBody>
    </xdr:sp>
    <xdr:clientData/>
  </xdr:twoCellAnchor>
  <xdr:twoCellAnchor>
    <xdr:from>
      <xdr:col>22</xdr:col>
      <xdr:colOff>6350</xdr:colOff>
      <xdr:row>6</xdr:row>
      <xdr:rowOff>85725</xdr:rowOff>
    </xdr:from>
    <xdr:to>
      <xdr:col>22</xdr:col>
      <xdr:colOff>108838</xdr:colOff>
      <xdr:row>6</xdr:row>
      <xdr:rowOff>161925</xdr:rowOff>
    </xdr:to>
    <xdr:sp macro="" textlink="">
      <xdr:nvSpPr>
        <xdr:cNvPr id="74457" name="7Graph"/>
        <xdr:cNvSpPr/>
      </xdr:nvSpPr>
      <xdr:spPr>
        <a:xfrm>
          <a:off x="13465175" y="1600200"/>
          <a:ext cx="102488" cy="76200"/>
        </a:xfrm>
        <a:prstGeom prst="rect">
          <a:avLst/>
        </a:prstGeom>
        <a:pattFill prst="ltUpDiag">
          <a:fgClr>
            <a:srgbClr val="000000"/>
          </a:fgClr>
          <a:bgClr>
            <a:srgbClr val="80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22</xdr:col>
      <xdr:colOff>6350</xdr:colOff>
      <xdr:row>6</xdr:row>
      <xdr:rowOff>161925</xdr:rowOff>
    </xdr:from>
    <xdr:to>
      <xdr:col>24</xdr:col>
      <xdr:colOff>272162</xdr:colOff>
      <xdr:row>6</xdr:row>
      <xdr:rowOff>200025</xdr:rowOff>
    </xdr:to>
    <xdr:sp macro="" textlink="">
      <xdr:nvSpPr>
        <xdr:cNvPr id="74458" name="7Results"/>
        <xdr:cNvSpPr/>
      </xdr:nvSpPr>
      <xdr:spPr>
        <a:xfrm>
          <a:off x="13465175" y="1676400"/>
          <a:ext cx="1027812" cy="38100"/>
        </a:xfrm>
        <a:prstGeom prst="rect">
          <a:avLst/>
        </a:prstGeom>
        <a:solidFill>
          <a:srgbClr val="000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22</xdr:col>
      <xdr:colOff>121538</xdr:colOff>
      <xdr:row>6</xdr:row>
      <xdr:rowOff>44450</xdr:rowOff>
    </xdr:from>
    <xdr:to>
      <xdr:col>23</xdr:col>
      <xdr:colOff>197738</xdr:colOff>
      <xdr:row>6</xdr:row>
      <xdr:rowOff>215900</xdr:rowOff>
    </xdr:to>
    <xdr:sp macro="" textlink="">
      <xdr:nvSpPr>
        <xdr:cNvPr id="74459" name="7EndPoint"/>
        <xdr:cNvSpPr txBox="1"/>
      </xdr:nvSpPr>
      <xdr:spPr>
        <a:xfrm>
          <a:off x="13580363" y="15589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11/21</a:t>
          </a:r>
          <a:endParaRPr kumimoji="1" lang="ja-JP" altLang="en-US" sz="1000">
            <a:solidFill>
              <a:srgbClr val="000000"/>
            </a:solidFill>
          </a:endParaRPr>
        </a:p>
      </xdr:txBody>
    </xdr:sp>
    <xdr:clientData/>
  </xdr:twoCellAnchor>
  <xdr:twoCellAnchor>
    <xdr:from>
      <xdr:col>22</xdr:col>
      <xdr:colOff>115188</xdr:colOff>
      <xdr:row>7</xdr:row>
      <xdr:rowOff>0</xdr:rowOff>
    </xdr:from>
    <xdr:to>
      <xdr:col>28</xdr:col>
      <xdr:colOff>78441</xdr:colOff>
      <xdr:row>7</xdr:row>
      <xdr:rowOff>212911</xdr:rowOff>
    </xdr:to>
    <xdr:sp macro="" textlink="">
      <xdr:nvSpPr>
        <xdr:cNvPr id="74460" name="8Graph"/>
        <xdr:cNvSpPr/>
      </xdr:nvSpPr>
      <xdr:spPr>
        <a:xfrm>
          <a:off x="13763953" y="1759324"/>
          <a:ext cx="2249253" cy="212911"/>
        </a:xfrm>
        <a:prstGeom prst="rect">
          <a:avLst/>
        </a:prstGeom>
        <a:gradFill flip="none" rotWithShape="1">
          <a:gsLst>
            <a:gs pos="0">
              <a:srgbClr val="4C6680"/>
            </a:gs>
            <a:gs pos="50000">
              <a:srgbClr val="FFFFFF"/>
            </a:gs>
            <a:gs pos="100000">
              <a:srgbClr val="CCE6FF"/>
            </a:gs>
          </a:gsLst>
          <a:lin ang="5400000" scaled="1"/>
          <a:tileRect/>
        </a:gra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kumimoji="1" lang="ja-JP" altLang="en-US" sz="1000">
              <a:solidFill>
                <a:srgbClr val="000000"/>
              </a:solidFill>
            </a:rPr>
            <a:t>出荷調整画面</a:t>
          </a:r>
          <a:r>
            <a:rPr kumimoji="1" lang="en-US" altLang="ja-JP" sz="1000">
              <a:solidFill>
                <a:srgbClr val="000000"/>
              </a:solidFill>
            </a:rPr>
            <a:t>(11/22</a:t>
          </a:r>
          <a:r>
            <a:rPr kumimoji="1" lang="ja-JP" altLang="en-US" sz="1000">
              <a:solidFill>
                <a:srgbClr val="000000"/>
              </a:solidFill>
            </a:rPr>
            <a:t>～</a:t>
          </a:r>
          <a:r>
            <a:rPr kumimoji="1" lang="en-US" altLang="ja-JP" sz="1000">
              <a:solidFill>
                <a:srgbClr val="000000"/>
              </a:solidFill>
            </a:rPr>
            <a:t>12/14)</a:t>
          </a:r>
          <a:endParaRPr kumimoji="1" lang="ja-JP" altLang="en-US" sz="1000">
            <a:solidFill>
              <a:srgbClr val="000000"/>
            </a:solidFill>
          </a:endParaRPr>
        </a:p>
      </xdr:txBody>
    </xdr:sp>
    <xdr:clientData/>
  </xdr:twoCellAnchor>
  <xdr:twoCellAnchor>
    <xdr:from>
      <xdr:col>22</xdr:col>
      <xdr:colOff>115188</xdr:colOff>
      <xdr:row>8</xdr:row>
      <xdr:rowOff>85725</xdr:rowOff>
    </xdr:from>
    <xdr:to>
      <xdr:col>22</xdr:col>
      <xdr:colOff>272160</xdr:colOff>
      <xdr:row>8</xdr:row>
      <xdr:rowOff>161925</xdr:rowOff>
    </xdr:to>
    <xdr:sp macro="" textlink="">
      <xdr:nvSpPr>
        <xdr:cNvPr id="74461" name="9Graph"/>
        <xdr:cNvSpPr/>
      </xdr:nvSpPr>
      <xdr:spPr>
        <a:xfrm>
          <a:off x="13574013" y="2095500"/>
          <a:ext cx="156972"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22</xdr:col>
      <xdr:colOff>224028</xdr:colOff>
      <xdr:row>8</xdr:row>
      <xdr:rowOff>161925</xdr:rowOff>
    </xdr:from>
    <xdr:to>
      <xdr:col>23</xdr:col>
      <xdr:colOff>272162</xdr:colOff>
      <xdr:row>8</xdr:row>
      <xdr:rowOff>200025</xdr:rowOff>
    </xdr:to>
    <xdr:sp macro="" textlink="">
      <xdr:nvSpPr>
        <xdr:cNvPr id="74462" name="9Results"/>
        <xdr:cNvSpPr/>
      </xdr:nvSpPr>
      <xdr:spPr>
        <a:xfrm>
          <a:off x="13682853" y="2171700"/>
          <a:ext cx="429134"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22</xdr:col>
      <xdr:colOff>284862</xdr:colOff>
      <xdr:row>8</xdr:row>
      <xdr:rowOff>44450</xdr:rowOff>
    </xdr:from>
    <xdr:to>
      <xdr:col>23</xdr:col>
      <xdr:colOff>361062</xdr:colOff>
      <xdr:row>8</xdr:row>
      <xdr:rowOff>215900</xdr:rowOff>
    </xdr:to>
    <xdr:sp macro="" textlink="">
      <xdr:nvSpPr>
        <xdr:cNvPr id="74463" name="9EndPoint"/>
        <xdr:cNvSpPr txBox="1"/>
      </xdr:nvSpPr>
      <xdr:spPr>
        <a:xfrm>
          <a:off x="13743687" y="20542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11/24</a:t>
          </a:r>
          <a:endParaRPr kumimoji="1" lang="ja-JP" altLang="en-US" sz="1000">
            <a:solidFill>
              <a:srgbClr val="000000"/>
            </a:solidFill>
          </a:endParaRPr>
        </a:p>
      </xdr:txBody>
    </xdr:sp>
    <xdr:clientData/>
  </xdr:twoCellAnchor>
  <xdr:twoCellAnchor>
    <xdr:from>
      <xdr:col>22</xdr:col>
      <xdr:colOff>278512</xdr:colOff>
      <xdr:row>9</xdr:row>
      <xdr:rowOff>85725</xdr:rowOff>
    </xdr:from>
    <xdr:to>
      <xdr:col>24</xdr:col>
      <xdr:colOff>163323</xdr:colOff>
      <xdr:row>9</xdr:row>
      <xdr:rowOff>161925</xdr:rowOff>
    </xdr:to>
    <xdr:sp macro="" textlink="">
      <xdr:nvSpPr>
        <xdr:cNvPr id="73821" name="10Graph"/>
        <xdr:cNvSpPr/>
      </xdr:nvSpPr>
      <xdr:spPr>
        <a:xfrm>
          <a:off x="13737337" y="2343150"/>
          <a:ext cx="646811"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23</xdr:col>
      <xdr:colOff>6350</xdr:colOff>
      <xdr:row>9</xdr:row>
      <xdr:rowOff>161925</xdr:rowOff>
    </xdr:from>
    <xdr:to>
      <xdr:col>25</xdr:col>
      <xdr:colOff>217678</xdr:colOff>
      <xdr:row>9</xdr:row>
      <xdr:rowOff>200025</xdr:rowOff>
    </xdr:to>
    <xdr:sp macro="" textlink="">
      <xdr:nvSpPr>
        <xdr:cNvPr id="73822" name="10Results"/>
        <xdr:cNvSpPr/>
      </xdr:nvSpPr>
      <xdr:spPr>
        <a:xfrm>
          <a:off x="13846175" y="2419350"/>
          <a:ext cx="973328"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24</xdr:col>
      <xdr:colOff>176022</xdr:colOff>
      <xdr:row>9</xdr:row>
      <xdr:rowOff>44450</xdr:rowOff>
    </xdr:from>
    <xdr:to>
      <xdr:col>25</xdr:col>
      <xdr:colOff>252222</xdr:colOff>
      <xdr:row>9</xdr:row>
      <xdr:rowOff>215900</xdr:rowOff>
    </xdr:to>
    <xdr:sp macro="" textlink="">
      <xdr:nvSpPr>
        <xdr:cNvPr id="73823" name="10EndPoint"/>
        <xdr:cNvSpPr txBox="1"/>
      </xdr:nvSpPr>
      <xdr:spPr>
        <a:xfrm>
          <a:off x="14396847" y="23018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12/6</a:t>
          </a:r>
          <a:endParaRPr kumimoji="1" lang="ja-JP" altLang="en-US" sz="1000">
            <a:solidFill>
              <a:srgbClr val="000000"/>
            </a:solidFill>
          </a:endParaRPr>
        </a:p>
      </xdr:txBody>
    </xdr:sp>
    <xdr:clientData/>
  </xdr:twoCellAnchor>
  <xdr:twoCellAnchor>
    <xdr:from>
      <xdr:col>24</xdr:col>
      <xdr:colOff>169672</xdr:colOff>
      <xdr:row>28</xdr:row>
      <xdr:rowOff>85725</xdr:rowOff>
    </xdr:from>
    <xdr:to>
      <xdr:col>24</xdr:col>
      <xdr:colOff>217805</xdr:colOff>
      <xdr:row>28</xdr:row>
      <xdr:rowOff>161925</xdr:rowOff>
    </xdr:to>
    <xdr:sp macro="" textlink="">
      <xdr:nvSpPr>
        <xdr:cNvPr id="74208" name="29Graph"/>
        <xdr:cNvSpPr/>
      </xdr:nvSpPr>
      <xdr:spPr>
        <a:xfrm>
          <a:off x="14390497" y="7048500"/>
          <a:ext cx="48133"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6350</xdr:colOff>
      <xdr:row>28</xdr:row>
      <xdr:rowOff>161925</xdr:rowOff>
    </xdr:from>
    <xdr:to>
      <xdr:col>26</xdr:col>
      <xdr:colOff>54483</xdr:colOff>
      <xdr:row>28</xdr:row>
      <xdr:rowOff>200025</xdr:rowOff>
    </xdr:to>
    <xdr:sp macro="" textlink="">
      <xdr:nvSpPr>
        <xdr:cNvPr id="74209" name="29Results"/>
        <xdr:cNvSpPr/>
      </xdr:nvSpPr>
      <xdr:spPr>
        <a:xfrm>
          <a:off x="14989175" y="7124700"/>
          <a:ext cx="48133"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24</xdr:col>
      <xdr:colOff>230378</xdr:colOff>
      <xdr:row>28</xdr:row>
      <xdr:rowOff>44450</xdr:rowOff>
    </xdr:from>
    <xdr:to>
      <xdr:col>25</xdr:col>
      <xdr:colOff>306578</xdr:colOff>
      <xdr:row>28</xdr:row>
      <xdr:rowOff>215900</xdr:rowOff>
    </xdr:to>
    <xdr:sp macro="" textlink="">
      <xdr:nvSpPr>
        <xdr:cNvPr id="74210" name="29EndPoint"/>
        <xdr:cNvSpPr txBox="1"/>
      </xdr:nvSpPr>
      <xdr:spPr>
        <a:xfrm>
          <a:off x="14451203" y="70072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12/7</a:t>
          </a:r>
          <a:endParaRPr kumimoji="1" lang="ja-JP" altLang="en-US" sz="1000">
            <a:solidFill>
              <a:srgbClr val="000000"/>
            </a:solidFill>
          </a:endParaRPr>
        </a:p>
      </xdr:txBody>
    </xdr:sp>
    <xdr:clientData/>
  </xdr:twoCellAnchor>
  <xdr:twoCellAnchor>
    <xdr:from>
      <xdr:col>24</xdr:col>
      <xdr:colOff>169672</xdr:colOff>
      <xdr:row>29</xdr:row>
      <xdr:rowOff>85725</xdr:rowOff>
    </xdr:from>
    <xdr:to>
      <xdr:col>25</xdr:col>
      <xdr:colOff>54483</xdr:colOff>
      <xdr:row>29</xdr:row>
      <xdr:rowOff>161925</xdr:rowOff>
    </xdr:to>
    <xdr:sp macro="" textlink="">
      <xdr:nvSpPr>
        <xdr:cNvPr id="74211" name="30Graph"/>
        <xdr:cNvSpPr/>
      </xdr:nvSpPr>
      <xdr:spPr>
        <a:xfrm>
          <a:off x="14390497" y="7296150"/>
          <a:ext cx="265811"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6350</xdr:colOff>
      <xdr:row>29</xdr:row>
      <xdr:rowOff>161925</xdr:rowOff>
    </xdr:from>
    <xdr:to>
      <xdr:col>26</xdr:col>
      <xdr:colOff>108838</xdr:colOff>
      <xdr:row>29</xdr:row>
      <xdr:rowOff>200025</xdr:rowOff>
    </xdr:to>
    <xdr:sp macro="" textlink="">
      <xdr:nvSpPr>
        <xdr:cNvPr id="74464" name="30Results"/>
        <xdr:cNvSpPr/>
      </xdr:nvSpPr>
      <xdr:spPr>
        <a:xfrm>
          <a:off x="14989175" y="7372350"/>
          <a:ext cx="102488"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25</xdr:col>
      <xdr:colOff>67183</xdr:colOff>
      <xdr:row>29</xdr:row>
      <xdr:rowOff>44450</xdr:rowOff>
    </xdr:from>
    <xdr:to>
      <xdr:col>26</xdr:col>
      <xdr:colOff>143383</xdr:colOff>
      <xdr:row>29</xdr:row>
      <xdr:rowOff>215900</xdr:rowOff>
    </xdr:to>
    <xdr:sp macro="" textlink="">
      <xdr:nvSpPr>
        <xdr:cNvPr id="74465" name="30EndPoint"/>
        <xdr:cNvSpPr txBox="1"/>
      </xdr:nvSpPr>
      <xdr:spPr>
        <a:xfrm>
          <a:off x="14669008" y="72548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12/11</a:t>
          </a:r>
          <a:endParaRPr kumimoji="1" lang="ja-JP" altLang="en-US" sz="1000">
            <a:solidFill>
              <a:srgbClr val="000000"/>
            </a:solidFill>
          </a:endParaRPr>
        </a:p>
      </xdr:txBody>
    </xdr:sp>
    <xdr:clientData/>
  </xdr:twoCellAnchor>
  <xdr:twoCellAnchor>
    <xdr:from>
      <xdr:col>25</xdr:col>
      <xdr:colOff>60833</xdr:colOff>
      <xdr:row>30</xdr:row>
      <xdr:rowOff>85725</xdr:rowOff>
    </xdr:from>
    <xdr:to>
      <xdr:col>25</xdr:col>
      <xdr:colOff>217805</xdr:colOff>
      <xdr:row>30</xdr:row>
      <xdr:rowOff>161925</xdr:rowOff>
    </xdr:to>
    <xdr:sp macro="" textlink="">
      <xdr:nvSpPr>
        <xdr:cNvPr id="74466" name="31Graph"/>
        <xdr:cNvSpPr/>
      </xdr:nvSpPr>
      <xdr:spPr>
        <a:xfrm>
          <a:off x="14662658" y="7543800"/>
          <a:ext cx="156972"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60833</xdr:colOff>
      <xdr:row>30</xdr:row>
      <xdr:rowOff>161925</xdr:rowOff>
    </xdr:from>
    <xdr:to>
      <xdr:col>26</xdr:col>
      <xdr:colOff>108967</xdr:colOff>
      <xdr:row>30</xdr:row>
      <xdr:rowOff>200025</xdr:rowOff>
    </xdr:to>
    <xdr:sp macro="" textlink="">
      <xdr:nvSpPr>
        <xdr:cNvPr id="74467" name="31Results"/>
        <xdr:cNvSpPr/>
      </xdr:nvSpPr>
      <xdr:spPr>
        <a:xfrm>
          <a:off x="15043658" y="7620000"/>
          <a:ext cx="48134"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25</xdr:col>
      <xdr:colOff>230378</xdr:colOff>
      <xdr:row>30</xdr:row>
      <xdr:rowOff>44450</xdr:rowOff>
    </xdr:from>
    <xdr:to>
      <xdr:col>26</xdr:col>
      <xdr:colOff>306578</xdr:colOff>
      <xdr:row>30</xdr:row>
      <xdr:rowOff>215900</xdr:rowOff>
    </xdr:to>
    <xdr:sp macro="" textlink="">
      <xdr:nvSpPr>
        <xdr:cNvPr id="74468" name="31EndPoint"/>
        <xdr:cNvSpPr txBox="1"/>
      </xdr:nvSpPr>
      <xdr:spPr>
        <a:xfrm>
          <a:off x="14832203" y="75025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12/14</a:t>
          </a:r>
          <a:endParaRPr kumimoji="1" lang="ja-JP" altLang="en-US" sz="1000">
            <a:solidFill>
              <a:srgbClr val="000000"/>
            </a:solidFill>
          </a:endParaRPr>
        </a:p>
      </xdr:txBody>
    </xdr:sp>
    <xdr:clientData/>
  </xdr:twoCellAnchor>
  <xdr:twoCellAnchor>
    <xdr:from>
      <xdr:col>27</xdr:col>
      <xdr:colOff>115188</xdr:colOff>
      <xdr:row>31</xdr:row>
      <xdr:rowOff>0</xdr:rowOff>
    </xdr:from>
    <xdr:to>
      <xdr:col>29</xdr:col>
      <xdr:colOff>217677</xdr:colOff>
      <xdr:row>32</xdr:row>
      <xdr:rowOff>0</xdr:rowOff>
    </xdr:to>
    <xdr:sp macro="" textlink="">
      <xdr:nvSpPr>
        <xdr:cNvPr id="74469" name="32Graph"/>
        <xdr:cNvSpPr/>
      </xdr:nvSpPr>
      <xdr:spPr>
        <a:xfrm>
          <a:off x="15479013" y="7705725"/>
          <a:ext cx="864489" cy="247650"/>
        </a:xfrm>
        <a:prstGeom prst="rect">
          <a:avLst/>
        </a:prstGeom>
        <a:gradFill flip="none" rotWithShape="1">
          <a:gsLst>
            <a:gs pos="0">
              <a:srgbClr val="4C6680"/>
            </a:gs>
            <a:gs pos="50000">
              <a:srgbClr val="FFFFFF"/>
            </a:gs>
            <a:gs pos="100000">
              <a:srgbClr val="CCE6FF"/>
            </a:gs>
          </a:gsLst>
          <a:lin ang="5400000" scaled="1"/>
          <a:tileRect/>
        </a:gra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kumimoji="1" lang="ja-JP" altLang="en-US" sz="1000">
              <a:solidFill>
                <a:srgbClr val="000000"/>
              </a:solidFill>
            </a:rPr>
            <a:t>出荷計画一括登録（汎用）</a:t>
          </a:r>
          <a:r>
            <a:rPr kumimoji="1" lang="en-US" altLang="ja-JP" sz="1000">
              <a:solidFill>
                <a:srgbClr val="000000"/>
              </a:solidFill>
            </a:rPr>
            <a:t>(12/27</a:t>
          </a:r>
          <a:r>
            <a:rPr kumimoji="1" lang="ja-JP" altLang="en-US" sz="1000">
              <a:solidFill>
                <a:srgbClr val="000000"/>
              </a:solidFill>
            </a:rPr>
            <a:t>～</a:t>
          </a:r>
          <a:r>
            <a:rPr kumimoji="1" lang="en-US" altLang="ja-JP" sz="1000">
              <a:solidFill>
                <a:srgbClr val="000000"/>
              </a:solidFill>
            </a:rPr>
            <a:t>1/11)</a:t>
          </a:r>
          <a:endParaRPr kumimoji="1" lang="ja-JP" altLang="en-US" sz="1000">
            <a:solidFill>
              <a:srgbClr val="000000"/>
            </a:solidFill>
          </a:endParaRPr>
        </a:p>
      </xdr:txBody>
    </xdr:sp>
    <xdr:clientData/>
  </xdr:twoCellAnchor>
  <xdr:twoCellAnchor>
    <xdr:from>
      <xdr:col>27</xdr:col>
      <xdr:colOff>115188</xdr:colOff>
      <xdr:row>32</xdr:row>
      <xdr:rowOff>85725</xdr:rowOff>
    </xdr:from>
    <xdr:to>
      <xdr:col>27</xdr:col>
      <xdr:colOff>163322</xdr:colOff>
      <xdr:row>32</xdr:row>
      <xdr:rowOff>161925</xdr:rowOff>
    </xdr:to>
    <xdr:sp macro="" textlink="">
      <xdr:nvSpPr>
        <xdr:cNvPr id="74470" name="33Graph"/>
        <xdr:cNvSpPr/>
      </xdr:nvSpPr>
      <xdr:spPr>
        <a:xfrm>
          <a:off x="15479013" y="8039100"/>
          <a:ext cx="48134"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115188</xdr:colOff>
      <xdr:row>32</xdr:row>
      <xdr:rowOff>161925</xdr:rowOff>
    </xdr:from>
    <xdr:to>
      <xdr:col>29</xdr:col>
      <xdr:colOff>108838</xdr:colOff>
      <xdr:row>32</xdr:row>
      <xdr:rowOff>200025</xdr:rowOff>
    </xdr:to>
    <xdr:sp macro="" textlink="">
      <xdr:nvSpPr>
        <xdr:cNvPr id="74471" name="33Results"/>
        <xdr:cNvSpPr/>
      </xdr:nvSpPr>
      <xdr:spPr>
        <a:xfrm>
          <a:off x="15479013" y="8115300"/>
          <a:ext cx="755650"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176022</xdr:colOff>
      <xdr:row>32</xdr:row>
      <xdr:rowOff>44450</xdr:rowOff>
    </xdr:from>
    <xdr:to>
      <xdr:col>28</xdr:col>
      <xdr:colOff>252222</xdr:colOff>
      <xdr:row>32</xdr:row>
      <xdr:rowOff>215900</xdr:rowOff>
    </xdr:to>
    <xdr:sp macro="" textlink="">
      <xdr:nvSpPr>
        <xdr:cNvPr id="74472" name="33EndPoint"/>
        <xdr:cNvSpPr txBox="1"/>
      </xdr:nvSpPr>
      <xdr:spPr>
        <a:xfrm>
          <a:off x="15539847" y="79978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12/27</a:t>
          </a:r>
          <a:endParaRPr kumimoji="1" lang="ja-JP" altLang="en-US" sz="1000">
            <a:solidFill>
              <a:srgbClr val="000000"/>
            </a:solidFill>
          </a:endParaRPr>
        </a:p>
      </xdr:txBody>
    </xdr:sp>
    <xdr:clientData/>
  </xdr:twoCellAnchor>
  <xdr:twoCellAnchor>
    <xdr:from>
      <xdr:col>27</xdr:col>
      <xdr:colOff>115188</xdr:colOff>
      <xdr:row>33</xdr:row>
      <xdr:rowOff>85725</xdr:rowOff>
    </xdr:from>
    <xdr:to>
      <xdr:col>29</xdr:col>
      <xdr:colOff>108838</xdr:colOff>
      <xdr:row>33</xdr:row>
      <xdr:rowOff>161925</xdr:rowOff>
    </xdr:to>
    <xdr:sp macro="" textlink="">
      <xdr:nvSpPr>
        <xdr:cNvPr id="74473" name="34Graph"/>
        <xdr:cNvSpPr/>
      </xdr:nvSpPr>
      <xdr:spPr>
        <a:xfrm>
          <a:off x="15479013" y="8286750"/>
          <a:ext cx="755650"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121538</xdr:colOff>
      <xdr:row>33</xdr:row>
      <xdr:rowOff>44450</xdr:rowOff>
    </xdr:from>
    <xdr:to>
      <xdr:col>30</xdr:col>
      <xdr:colOff>197738</xdr:colOff>
      <xdr:row>33</xdr:row>
      <xdr:rowOff>215900</xdr:rowOff>
    </xdr:to>
    <xdr:sp macro="" textlink="">
      <xdr:nvSpPr>
        <xdr:cNvPr id="74474" name="34EndPoint"/>
        <xdr:cNvSpPr txBox="1"/>
      </xdr:nvSpPr>
      <xdr:spPr>
        <a:xfrm>
          <a:off x="16247363" y="82454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1/9</a:t>
          </a:r>
          <a:endParaRPr kumimoji="1" lang="ja-JP" altLang="en-US" sz="1000">
            <a:solidFill>
              <a:srgbClr val="000000"/>
            </a:solidFill>
          </a:endParaRPr>
        </a:p>
      </xdr:txBody>
    </xdr:sp>
    <xdr:clientData/>
  </xdr:twoCellAnchor>
  <xdr:twoCellAnchor>
    <xdr:from>
      <xdr:col>27</xdr:col>
      <xdr:colOff>115188</xdr:colOff>
      <xdr:row>34</xdr:row>
      <xdr:rowOff>85725</xdr:rowOff>
    </xdr:from>
    <xdr:to>
      <xdr:col>29</xdr:col>
      <xdr:colOff>108838</xdr:colOff>
      <xdr:row>34</xdr:row>
      <xdr:rowOff>161925</xdr:rowOff>
    </xdr:to>
    <xdr:sp macro="" textlink="">
      <xdr:nvSpPr>
        <xdr:cNvPr id="74475" name="35Graph"/>
        <xdr:cNvSpPr/>
      </xdr:nvSpPr>
      <xdr:spPr>
        <a:xfrm>
          <a:off x="15479013" y="8534400"/>
          <a:ext cx="755650"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121538</xdr:colOff>
      <xdr:row>34</xdr:row>
      <xdr:rowOff>44450</xdr:rowOff>
    </xdr:from>
    <xdr:to>
      <xdr:col>30</xdr:col>
      <xdr:colOff>197738</xdr:colOff>
      <xdr:row>34</xdr:row>
      <xdr:rowOff>215900</xdr:rowOff>
    </xdr:to>
    <xdr:sp macro="" textlink="">
      <xdr:nvSpPr>
        <xdr:cNvPr id="74476" name="35EndPoint"/>
        <xdr:cNvSpPr txBox="1"/>
      </xdr:nvSpPr>
      <xdr:spPr>
        <a:xfrm>
          <a:off x="16247363" y="84931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1/9</a:t>
          </a:r>
          <a:endParaRPr kumimoji="1" lang="ja-JP" altLang="en-US" sz="1000">
            <a:solidFill>
              <a:srgbClr val="000000"/>
            </a:solidFill>
          </a:endParaRPr>
        </a:p>
      </xdr:txBody>
    </xdr:sp>
    <xdr:clientData/>
  </xdr:twoCellAnchor>
  <xdr:twoCellAnchor>
    <xdr:from>
      <xdr:col>30</xdr:col>
      <xdr:colOff>53975</xdr:colOff>
      <xdr:row>33</xdr:row>
      <xdr:rowOff>79277</xdr:rowOff>
    </xdr:from>
    <xdr:to>
      <xdr:col>32</xdr:col>
      <xdr:colOff>273910</xdr:colOff>
      <xdr:row>33</xdr:row>
      <xdr:rowOff>238027</xdr:rowOff>
    </xdr:to>
    <xdr:sp macro="" textlink="">
      <xdr:nvSpPr>
        <xdr:cNvPr id="74477" name="35Comment"/>
        <xdr:cNvSpPr txBox="1"/>
      </xdr:nvSpPr>
      <xdr:spPr>
        <a:xfrm>
          <a:off x="16560800" y="8280302"/>
          <a:ext cx="981935" cy="158750"/>
        </a:xfrm>
        <a:prstGeom prst="rect">
          <a:avLst/>
        </a:prstGeom>
        <a:solidFill>
          <a:schemeClr val="lt1">
            <a:alpha val="10000"/>
          </a:scheme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spAutoFit/>
        </a:bodyPr>
        <a:lstStyle/>
        <a:p>
          <a:pPr algn="l"/>
          <a:r>
            <a:rPr kumimoji="1" lang="ja-JP" altLang="en-US" sz="900" b="0" i="0" u="none">
              <a:latin typeface="Meiryo UI"/>
            </a:rPr>
            <a:t>画面要件シート・
入出力定義書シート
</a:t>
          </a:r>
        </a:p>
      </xdr:txBody>
    </xdr:sp>
    <xdr:clientData/>
  </xdr:twoCellAnchor>
  <xdr:twoCellAnchor>
    <xdr:from>
      <xdr:col>27</xdr:col>
      <xdr:colOff>115188</xdr:colOff>
      <xdr:row>35</xdr:row>
      <xdr:rowOff>85725</xdr:rowOff>
    </xdr:from>
    <xdr:to>
      <xdr:col>27</xdr:col>
      <xdr:colOff>163322</xdr:colOff>
      <xdr:row>35</xdr:row>
      <xdr:rowOff>161925</xdr:rowOff>
    </xdr:to>
    <xdr:sp macro="" textlink="">
      <xdr:nvSpPr>
        <xdr:cNvPr id="74478" name="36Graph"/>
        <xdr:cNvSpPr/>
      </xdr:nvSpPr>
      <xdr:spPr>
        <a:xfrm>
          <a:off x="15479013" y="8782050"/>
          <a:ext cx="48134"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60833</xdr:colOff>
      <xdr:row>35</xdr:row>
      <xdr:rowOff>161925</xdr:rowOff>
    </xdr:from>
    <xdr:to>
      <xdr:col>27</xdr:col>
      <xdr:colOff>108967</xdr:colOff>
      <xdr:row>35</xdr:row>
      <xdr:rowOff>200025</xdr:rowOff>
    </xdr:to>
    <xdr:sp macro="" textlink="">
      <xdr:nvSpPr>
        <xdr:cNvPr id="74479" name="36Results"/>
        <xdr:cNvSpPr/>
      </xdr:nvSpPr>
      <xdr:spPr>
        <a:xfrm>
          <a:off x="15424658" y="8858250"/>
          <a:ext cx="48134"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176022</xdr:colOff>
      <xdr:row>35</xdr:row>
      <xdr:rowOff>44450</xdr:rowOff>
    </xdr:from>
    <xdr:to>
      <xdr:col>28</xdr:col>
      <xdr:colOff>252222</xdr:colOff>
      <xdr:row>35</xdr:row>
      <xdr:rowOff>215900</xdr:rowOff>
    </xdr:to>
    <xdr:sp macro="" textlink="">
      <xdr:nvSpPr>
        <xdr:cNvPr id="74480" name="36EndPoint"/>
        <xdr:cNvSpPr txBox="1"/>
      </xdr:nvSpPr>
      <xdr:spPr>
        <a:xfrm>
          <a:off x="15539847" y="87407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12/27</a:t>
          </a:r>
          <a:endParaRPr kumimoji="1" lang="ja-JP" altLang="en-US" sz="1000">
            <a:solidFill>
              <a:srgbClr val="000000"/>
            </a:solidFill>
          </a:endParaRPr>
        </a:p>
      </xdr:txBody>
    </xdr:sp>
    <xdr:clientData/>
  </xdr:twoCellAnchor>
  <xdr:twoCellAnchor>
    <xdr:from>
      <xdr:col>29</xdr:col>
      <xdr:colOff>60833</xdr:colOff>
      <xdr:row>36</xdr:row>
      <xdr:rowOff>85725</xdr:rowOff>
    </xdr:from>
    <xdr:to>
      <xdr:col>29</xdr:col>
      <xdr:colOff>108967</xdr:colOff>
      <xdr:row>36</xdr:row>
      <xdr:rowOff>161925</xdr:rowOff>
    </xdr:to>
    <xdr:sp macro="" textlink="">
      <xdr:nvSpPr>
        <xdr:cNvPr id="74481" name="37Graph"/>
        <xdr:cNvSpPr/>
      </xdr:nvSpPr>
      <xdr:spPr>
        <a:xfrm>
          <a:off x="16186658" y="9029700"/>
          <a:ext cx="48134"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60833</xdr:colOff>
      <xdr:row>36</xdr:row>
      <xdr:rowOff>161925</xdr:rowOff>
    </xdr:from>
    <xdr:to>
      <xdr:col>29</xdr:col>
      <xdr:colOff>108967</xdr:colOff>
      <xdr:row>36</xdr:row>
      <xdr:rowOff>200025</xdr:rowOff>
    </xdr:to>
    <xdr:sp macro="" textlink="">
      <xdr:nvSpPr>
        <xdr:cNvPr id="74482" name="37Results"/>
        <xdr:cNvSpPr/>
      </xdr:nvSpPr>
      <xdr:spPr>
        <a:xfrm>
          <a:off x="16186658" y="9105900"/>
          <a:ext cx="48134"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121538</xdr:colOff>
      <xdr:row>36</xdr:row>
      <xdr:rowOff>44450</xdr:rowOff>
    </xdr:from>
    <xdr:to>
      <xdr:col>30</xdr:col>
      <xdr:colOff>197738</xdr:colOff>
      <xdr:row>36</xdr:row>
      <xdr:rowOff>215900</xdr:rowOff>
    </xdr:to>
    <xdr:sp macro="" textlink="">
      <xdr:nvSpPr>
        <xdr:cNvPr id="74483" name="37EndPoint"/>
        <xdr:cNvSpPr txBox="1"/>
      </xdr:nvSpPr>
      <xdr:spPr>
        <a:xfrm>
          <a:off x="16247363" y="89884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1/9</a:t>
          </a:r>
          <a:endParaRPr kumimoji="1" lang="ja-JP" altLang="en-US" sz="1000">
            <a:solidFill>
              <a:srgbClr val="000000"/>
            </a:solidFill>
          </a:endParaRPr>
        </a:p>
      </xdr:txBody>
    </xdr:sp>
    <xdr:clientData/>
  </xdr:twoCellAnchor>
  <xdr:twoCellAnchor>
    <xdr:from>
      <xdr:col>29</xdr:col>
      <xdr:colOff>60833</xdr:colOff>
      <xdr:row>37</xdr:row>
      <xdr:rowOff>85725</xdr:rowOff>
    </xdr:from>
    <xdr:to>
      <xdr:col>29</xdr:col>
      <xdr:colOff>108967</xdr:colOff>
      <xdr:row>37</xdr:row>
      <xdr:rowOff>161925</xdr:rowOff>
    </xdr:to>
    <xdr:sp macro="" textlink="">
      <xdr:nvSpPr>
        <xdr:cNvPr id="74484" name="38Graph"/>
        <xdr:cNvSpPr/>
      </xdr:nvSpPr>
      <xdr:spPr>
        <a:xfrm>
          <a:off x="16186658" y="9277350"/>
          <a:ext cx="48134"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60833</xdr:colOff>
      <xdr:row>37</xdr:row>
      <xdr:rowOff>161925</xdr:rowOff>
    </xdr:from>
    <xdr:to>
      <xdr:col>29</xdr:col>
      <xdr:colOff>108967</xdr:colOff>
      <xdr:row>37</xdr:row>
      <xdr:rowOff>200025</xdr:rowOff>
    </xdr:to>
    <xdr:sp macro="" textlink="">
      <xdr:nvSpPr>
        <xdr:cNvPr id="74485" name="38Results"/>
        <xdr:cNvSpPr/>
      </xdr:nvSpPr>
      <xdr:spPr>
        <a:xfrm>
          <a:off x="16186658" y="9353550"/>
          <a:ext cx="48134"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121538</xdr:colOff>
      <xdr:row>37</xdr:row>
      <xdr:rowOff>44450</xdr:rowOff>
    </xdr:from>
    <xdr:to>
      <xdr:col>30</xdr:col>
      <xdr:colOff>197738</xdr:colOff>
      <xdr:row>37</xdr:row>
      <xdr:rowOff>215900</xdr:rowOff>
    </xdr:to>
    <xdr:sp macro="" textlink="">
      <xdr:nvSpPr>
        <xdr:cNvPr id="74486" name="38EndPoint"/>
        <xdr:cNvSpPr txBox="1"/>
      </xdr:nvSpPr>
      <xdr:spPr>
        <a:xfrm>
          <a:off x="16247363" y="92360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1/9</a:t>
          </a:r>
          <a:endParaRPr kumimoji="1" lang="ja-JP" altLang="en-US" sz="1000">
            <a:solidFill>
              <a:srgbClr val="000000"/>
            </a:solidFill>
          </a:endParaRPr>
        </a:p>
      </xdr:txBody>
    </xdr:sp>
    <xdr:clientData/>
  </xdr:twoCellAnchor>
  <xdr:twoCellAnchor>
    <xdr:from>
      <xdr:col>29</xdr:col>
      <xdr:colOff>60833</xdr:colOff>
      <xdr:row>38</xdr:row>
      <xdr:rowOff>85725</xdr:rowOff>
    </xdr:from>
    <xdr:to>
      <xdr:col>29</xdr:col>
      <xdr:colOff>108967</xdr:colOff>
      <xdr:row>38</xdr:row>
      <xdr:rowOff>161925</xdr:rowOff>
    </xdr:to>
    <xdr:sp macro="" textlink="">
      <xdr:nvSpPr>
        <xdr:cNvPr id="74487" name="39Graph"/>
        <xdr:cNvSpPr/>
      </xdr:nvSpPr>
      <xdr:spPr>
        <a:xfrm>
          <a:off x="16186658" y="9525000"/>
          <a:ext cx="48134"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60833</xdr:colOff>
      <xdr:row>38</xdr:row>
      <xdr:rowOff>161925</xdr:rowOff>
    </xdr:from>
    <xdr:to>
      <xdr:col>29</xdr:col>
      <xdr:colOff>108967</xdr:colOff>
      <xdr:row>38</xdr:row>
      <xdr:rowOff>200025</xdr:rowOff>
    </xdr:to>
    <xdr:sp macro="" textlink="">
      <xdr:nvSpPr>
        <xdr:cNvPr id="74488" name="39Results"/>
        <xdr:cNvSpPr/>
      </xdr:nvSpPr>
      <xdr:spPr>
        <a:xfrm>
          <a:off x="16186658" y="9601200"/>
          <a:ext cx="48134"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121538</xdr:colOff>
      <xdr:row>38</xdr:row>
      <xdr:rowOff>44450</xdr:rowOff>
    </xdr:from>
    <xdr:to>
      <xdr:col>30</xdr:col>
      <xdr:colOff>197738</xdr:colOff>
      <xdr:row>38</xdr:row>
      <xdr:rowOff>215900</xdr:rowOff>
    </xdr:to>
    <xdr:sp macro="" textlink="">
      <xdr:nvSpPr>
        <xdr:cNvPr id="74489" name="39EndPoint"/>
        <xdr:cNvSpPr txBox="1"/>
      </xdr:nvSpPr>
      <xdr:spPr>
        <a:xfrm>
          <a:off x="16247363" y="94837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1/9</a:t>
          </a:r>
          <a:endParaRPr kumimoji="1" lang="ja-JP" altLang="en-US" sz="1000">
            <a:solidFill>
              <a:srgbClr val="000000"/>
            </a:solidFill>
          </a:endParaRPr>
        </a:p>
      </xdr:txBody>
    </xdr:sp>
    <xdr:clientData/>
  </xdr:twoCellAnchor>
  <xdr:twoCellAnchor>
    <xdr:from>
      <xdr:col>29</xdr:col>
      <xdr:colOff>60833</xdr:colOff>
      <xdr:row>39</xdr:row>
      <xdr:rowOff>85725</xdr:rowOff>
    </xdr:from>
    <xdr:to>
      <xdr:col>29</xdr:col>
      <xdr:colOff>108967</xdr:colOff>
      <xdr:row>39</xdr:row>
      <xdr:rowOff>161925</xdr:rowOff>
    </xdr:to>
    <xdr:sp macro="" textlink="">
      <xdr:nvSpPr>
        <xdr:cNvPr id="74490" name="40Graph"/>
        <xdr:cNvSpPr/>
      </xdr:nvSpPr>
      <xdr:spPr>
        <a:xfrm>
          <a:off x="16186658" y="9772650"/>
          <a:ext cx="48134"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60833</xdr:colOff>
      <xdr:row>39</xdr:row>
      <xdr:rowOff>161925</xdr:rowOff>
    </xdr:from>
    <xdr:to>
      <xdr:col>29</xdr:col>
      <xdr:colOff>108967</xdr:colOff>
      <xdr:row>39</xdr:row>
      <xdr:rowOff>200025</xdr:rowOff>
    </xdr:to>
    <xdr:sp macro="" textlink="">
      <xdr:nvSpPr>
        <xdr:cNvPr id="74491" name="40Results"/>
        <xdr:cNvSpPr/>
      </xdr:nvSpPr>
      <xdr:spPr>
        <a:xfrm>
          <a:off x="16186658" y="9848850"/>
          <a:ext cx="48134"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121538</xdr:colOff>
      <xdr:row>39</xdr:row>
      <xdr:rowOff>44450</xdr:rowOff>
    </xdr:from>
    <xdr:to>
      <xdr:col>30</xdr:col>
      <xdr:colOff>197738</xdr:colOff>
      <xdr:row>39</xdr:row>
      <xdr:rowOff>215900</xdr:rowOff>
    </xdr:to>
    <xdr:sp macro="" textlink="">
      <xdr:nvSpPr>
        <xdr:cNvPr id="74492" name="40EndPoint"/>
        <xdr:cNvSpPr txBox="1"/>
      </xdr:nvSpPr>
      <xdr:spPr>
        <a:xfrm>
          <a:off x="16247363" y="97313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1/9</a:t>
          </a:r>
          <a:endParaRPr kumimoji="1" lang="ja-JP" altLang="en-US" sz="1000">
            <a:solidFill>
              <a:srgbClr val="000000"/>
            </a:solidFill>
          </a:endParaRPr>
        </a:p>
      </xdr:txBody>
    </xdr:sp>
    <xdr:clientData/>
  </xdr:twoCellAnchor>
  <xdr:twoCellAnchor>
    <xdr:from>
      <xdr:col>29</xdr:col>
      <xdr:colOff>60833</xdr:colOff>
      <xdr:row>40</xdr:row>
      <xdr:rowOff>85725</xdr:rowOff>
    </xdr:from>
    <xdr:to>
      <xdr:col>29</xdr:col>
      <xdr:colOff>108967</xdr:colOff>
      <xdr:row>40</xdr:row>
      <xdr:rowOff>161925</xdr:rowOff>
    </xdr:to>
    <xdr:sp macro="" textlink="">
      <xdr:nvSpPr>
        <xdr:cNvPr id="74493" name="41Graph"/>
        <xdr:cNvSpPr/>
      </xdr:nvSpPr>
      <xdr:spPr>
        <a:xfrm>
          <a:off x="16186658" y="10020300"/>
          <a:ext cx="48134"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60833</xdr:colOff>
      <xdr:row>40</xdr:row>
      <xdr:rowOff>161925</xdr:rowOff>
    </xdr:from>
    <xdr:to>
      <xdr:col>29</xdr:col>
      <xdr:colOff>108967</xdr:colOff>
      <xdr:row>40</xdr:row>
      <xdr:rowOff>200025</xdr:rowOff>
    </xdr:to>
    <xdr:sp macro="" textlink="">
      <xdr:nvSpPr>
        <xdr:cNvPr id="74494" name="41Results"/>
        <xdr:cNvSpPr/>
      </xdr:nvSpPr>
      <xdr:spPr>
        <a:xfrm>
          <a:off x="16186658" y="10096500"/>
          <a:ext cx="48134"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121538</xdr:colOff>
      <xdr:row>40</xdr:row>
      <xdr:rowOff>44450</xdr:rowOff>
    </xdr:from>
    <xdr:to>
      <xdr:col>30</xdr:col>
      <xdr:colOff>197738</xdr:colOff>
      <xdr:row>40</xdr:row>
      <xdr:rowOff>215900</xdr:rowOff>
    </xdr:to>
    <xdr:sp macro="" textlink="">
      <xdr:nvSpPr>
        <xdr:cNvPr id="74495" name="41EndPoint"/>
        <xdr:cNvSpPr txBox="1"/>
      </xdr:nvSpPr>
      <xdr:spPr>
        <a:xfrm>
          <a:off x="16247363" y="99790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1/9</a:t>
          </a:r>
          <a:endParaRPr kumimoji="1" lang="ja-JP" altLang="en-US" sz="1000">
            <a:solidFill>
              <a:srgbClr val="000000"/>
            </a:solidFill>
          </a:endParaRPr>
        </a:p>
      </xdr:txBody>
    </xdr:sp>
    <xdr:clientData/>
  </xdr:twoCellAnchor>
  <xdr:twoCellAnchor>
    <xdr:from>
      <xdr:col>29</xdr:col>
      <xdr:colOff>60833</xdr:colOff>
      <xdr:row>41</xdr:row>
      <xdr:rowOff>85725</xdr:rowOff>
    </xdr:from>
    <xdr:to>
      <xdr:col>29</xdr:col>
      <xdr:colOff>108967</xdr:colOff>
      <xdr:row>41</xdr:row>
      <xdr:rowOff>161925</xdr:rowOff>
    </xdr:to>
    <xdr:sp macro="" textlink="">
      <xdr:nvSpPr>
        <xdr:cNvPr id="74496" name="42Graph"/>
        <xdr:cNvSpPr/>
      </xdr:nvSpPr>
      <xdr:spPr>
        <a:xfrm>
          <a:off x="16186658" y="10267950"/>
          <a:ext cx="48134"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60833</xdr:colOff>
      <xdr:row>41</xdr:row>
      <xdr:rowOff>161925</xdr:rowOff>
    </xdr:from>
    <xdr:to>
      <xdr:col>29</xdr:col>
      <xdr:colOff>108967</xdr:colOff>
      <xdr:row>41</xdr:row>
      <xdr:rowOff>200025</xdr:rowOff>
    </xdr:to>
    <xdr:sp macro="" textlink="">
      <xdr:nvSpPr>
        <xdr:cNvPr id="74497" name="42Results"/>
        <xdr:cNvSpPr/>
      </xdr:nvSpPr>
      <xdr:spPr>
        <a:xfrm>
          <a:off x="16186658" y="10344150"/>
          <a:ext cx="48134"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121538</xdr:colOff>
      <xdr:row>41</xdr:row>
      <xdr:rowOff>44450</xdr:rowOff>
    </xdr:from>
    <xdr:to>
      <xdr:col>30</xdr:col>
      <xdr:colOff>197738</xdr:colOff>
      <xdr:row>41</xdr:row>
      <xdr:rowOff>215900</xdr:rowOff>
    </xdr:to>
    <xdr:sp macro="" textlink="">
      <xdr:nvSpPr>
        <xdr:cNvPr id="74498" name="42EndPoint"/>
        <xdr:cNvSpPr txBox="1"/>
      </xdr:nvSpPr>
      <xdr:spPr>
        <a:xfrm>
          <a:off x="16247363" y="102266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1/9</a:t>
          </a:r>
          <a:endParaRPr kumimoji="1" lang="ja-JP" altLang="en-US" sz="1000">
            <a:solidFill>
              <a:srgbClr val="000000"/>
            </a:solidFill>
          </a:endParaRPr>
        </a:p>
      </xdr:txBody>
    </xdr:sp>
    <xdr:clientData/>
  </xdr:twoCellAnchor>
  <xdr:twoCellAnchor>
    <xdr:from>
      <xdr:col>29</xdr:col>
      <xdr:colOff>60833</xdr:colOff>
      <xdr:row>42</xdr:row>
      <xdr:rowOff>85725</xdr:rowOff>
    </xdr:from>
    <xdr:to>
      <xdr:col>29</xdr:col>
      <xdr:colOff>108967</xdr:colOff>
      <xdr:row>42</xdr:row>
      <xdr:rowOff>161925</xdr:rowOff>
    </xdr:to>
    <xdr:sp macro="" textlink="">
      <xdr:nvSpPr>
        <xdr:cNvPr id="74499" name="43Graph"/>
        <xdr:cNvSpPr/>
      </xdr:nvSpPr>
      <xdr:spPr>
        <a:xfrm>
          <a:off x="16186658" y="10515600"/>
          <a:ext cx="48134"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60833</xdr:colOff>
      <xdr:row>42</xdr:row>
      <xdr:rowOff>161925</xdr:rowOff>
    </xdr:from>
    <xdr:to>
      <xdr:col>29</xdr:col>
      <xdr:colOff>108967</xdr:colOff>
      <xdr:row>42</xdr:row>
      <xdr:rowOff>200025</xdr:rowOff>
    </xdr:to>
    <xdr:sp macro="" textlink="">
      <xdr:nvSpPr>
        <xdr:cNvPr id="74500" name="43Results"/>
        <xdr:cNvSpPr/>
      </xdr:nvSpPr>
      <xdr:spPr>
        <a:xfrm>
          <a:off x="16186658" y="10591800"/>
          <a:ext cx="48134"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121538</xdr:colOff>
      <xdr:row>42</xdr:row>
      <xdr:rowOff>44450</xdr:rowOff>
    </xdr:from>
    <xdr:to>
      <xdr:col>30</xdr:col>
      <xdr:colOff>197738</xdr:colOff>
      <xdr:row>42</xdr:row>
      <xdr:rowOff>215900</xdr:rowOff>
    </xdr:to>
    <xdr:sp macro="" textlink="">
      <xdr:nvSpPr>
        <xdr:cNvPr id="74501" name="43EndPoint"/>
        <xdr:cNvSpPr txBox="1"/>
      </xdr:nvSpPr>
      <xdr:spPr>
        <a:xfrm>
          <a:off x="16247363" y="104743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1/9</a:t>
          </a:r>
          <a:endParaRPr kumimoji="1" lang="ja-JP" altLang="en-US" sz="1000">
            <a:solidFill>
              <a:srgbClr val="000000"/>
            </a:solidFill>
          </a:endParaRPr>
        </a:p>
      </xdr:txBody>
    </xdr:sp>
    <xdr:clientData/>
  </xdr:twoCellAnchor>
  <xdr:twoCellAnchor>
    <xdr:from>
      <xdr:col>29</xdr:col>
      <xdr:colOff>60833</xdr:colOff>
      <xdr:row>43</xdr:row>
      <xdr:rowOff>85725</xdr:rowOff>
    </xdr:from>
    <xdr:to>
      <xdr:col>29</xdr:col>
      <xdr:colOff>108967</xdr:colOff>
      <xdr:row>43</xdr:row>
      <xdr:rowOff>161925</xdr:rowOff>
    </xdr:to>
    <xdr:sp macro="" textlink="">
      <xdr:nvSpPr>
        <xdr:cNvPr id="74502" name="44Graph"/>
        <xdr:cNvSpPr/>
      </xdr:nvSpPr>
      <xdr:spPr>
        <a:xfrm>
          <a:off x="16186658" y="10763250"/>
          <a:ext cx="48134"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60833</xdr:colOff>
      <xdr:row>43</xdr:row>
      <xdr:rowOff>161925</xdr:rowOff>
    </xdr:from>
    <xdr:to>
      <xdr:col>29</xdr:col>
      <xdr:colOff>108967</xdr:colOff>
      <xdr:row>43</xdr:row>
      <xdr:rowOff>200025</xdr:rowOff>
    </xdr:to>
    <xdr:sp macro="" textlink="">
      <xdr:nvSpPr>
        <xdr:cNvPr id="74503" name="44Results"/>
        <xdr:cNvSpPr/>
      </xdr:nvSpPr>
      <xdr:spPr>
        <a:xfrm>
          <a:off x="16186658" y="10839450"/>
          <a:ext cx="48134"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121538</xdr:colOff>
      <xdr:row>43</xdr:row>
      <xdr:rowOff>44450</xdr:rowOff>
    </xdr:from>
    <xdr:to>
      <xdr:col>30</xdr:col>
      <xdr:colOff>197738</xdr:colOff>
      <xdr:row>43</xdr:row>
      <xdr:rowOff>215900</xdr:rowOff>
    </xdr:to>
    <xdr:sp macro="" textlink="">
      <xdr:nvSpPr>
        <xdr:cNvPr id="74504" name="44EndPoint"/>
        <xdr:cNvSpPr txBox="1"/>
      </xdr:nvSpPr>
      <xdr:spPr>
        <a:xfrm>
          <a:off x="16247363" y="107219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1/9</a:t>
          </a:r>
          <a:endParaRPr kumimoji="1" lang="ja-JP" altLang="en-US" sz="1000">
            <a:solidFill>
              <a:srgbClr val="000000"/>
            </a:solidFill>
          </a:endParaRPr>
        </a:p>
      </xdr:txBody>
    </xdr:sp>
    <xdr:clientData/>
  </xdr:twoCellAnchor>
  <xdr:twoCellAnchor>
    <xdr:from>
      <xdr:col>29</xdr:col>
      <xdr:colOff>115188</xdr:colOff>
      <xdr:row>44</xdr:row>
      <xdr:rowOff>85725</xdr:rowOff>
    </xdr:from>
    <xdr:to>
      <xdr:col>29</xdr:col>
      <xdr:colOff>163322</xdr:colOff>
      <xdr:row>44</xdr:row>
      <xdr:rowOff>161925</xdr:rowOff>
    </xdr:to>
    <xdr:sp macro="" textlink="">
      <xdr:nvSpPr>
        <xdr:cNvPr id="74505" name="45Graph"/>
        <xdr:cNvSpPr/>
      </xdr:nvSpPr>
      <xdr:spPr>
        <a:xfrm>
          <a:off x="16241013" y="11010900"/>
          <a:ext cx="48134"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115188</xdr:colOff>
      <xdr:row>44</xdr:row>
      <xdr:rowOff>161925</xdr:rowOff>
    </xdr:from>
    <xdr:to>
      <xdr:col>27</xdr:col>
      <xdr:colOff>163322</xdr:colOff>
      <xdr:row>44</xdr:row>
      <xdr:rowOff>200025</xdr:rowOff>
    </xdr:to>
    <xdr:sp macro="" textlink="">
      <xdr:nvSpPr>
        <xdr:cNvPr id="74506" name="45Results"/>
        <xdr:cNvSpPr/>
      </xdr:nvSpPr>
      <xdr:spPr>
        <a:xfrm>
          <a:off x="15479013" y="11087100"/>
          <a:ext cx="48134"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176022</xdr:colOff>
      <xdr:row>44</xdr:row>
      <xdr:rowOff>44450</xdr:rowOff>
    </xdr:from>
    <xdr:to>
      <xdr:col>30</xdr:col>
      <xdr:colOff>252222</xdr:colOff>
      <xdr:row>44</xdr:row>
      <xdr:rowOff>215900</xdr:rowOff>
    </xdr:to>
    <xdr:sp macro="" textlink="">
      <xdr:nvSpPr>
        <xdr:cNvPr id="74507" name="45EndPoint"/>
        <xdr:cNvSpPr txBox="1"/>
      </xdr:nvSpPr>
      <xdr:spPr>
        <a:xfrm>
          <a:off x="16301847" y="109696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1/10</a:t>
          </a:r>
          <a:endParaRPr kumimoji="1" lang="ja-JP" altLang="en-US" sz="1000">
            <a:solidFill>
              <a:srgbClr val="000000"/>
            </a:solidFill>
          </a:endParaRPr>
        </a:p>
      </xdr:txBody>
    </xdr:sp>
    <xdr:clientData/>
  </xdr:twoCellAnchor>
  <xdr:twoCellAnchor>
    <xdr:from>
      <xdr:col>29</xdr:col>
      <xdr:colOff>115188</xdr:colOff>
      <xdr:row>45</xdr:row>
      <xdr:rowOff>85725</xdr:rowOff>
    </xdr:from>
    <xdr:to>
      <xdr:col>29</xdr:col>
      <xdr:colOff>163322</xdr:colOff>
      <xdr:row>45</xdr:row>
      <xdr:rowOff>161925</xdr:rowOff>
    </xdr:to>
    <xdr:sp macro="" textlink="">
      <xdr:nvSpPr>
        <xdr:cNvPr id="74508" name="46Graph"/>
        <xdr:cNvSpPr/>
      </xdr:nvSpPr>
      <xdr:spPr>
        <a:xfrm>
          <a:off x="16241013" y="11258550"/>
          <a:ext cx="48134"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115188</xdr:colOff>
      <xdr:row>45</xdr:row>
      <xdr:rowOff>161925</xdr:rowOff>
    </xdr:from>
    <xdr:to>
      <xdr:col>29</xdr:col>
      <xdr:colOff>163322</xdr:colOff>
      <xdr:row>45</xdr:row>
      <xdr:rowOff>200025</xdr:rowOff>
    </xdr:to>
    <xdr:sp macro="" textlink="">
      <xdr:nvSpPr>
        <xdr:cNvPr id="74509" name="46Results"/>
        <xdr:cNvSpPr/>
      </xdr:nvSpPr>
      <xdr:spPr>
        <a:xfrm>
          <a:off x="16241013" y="11334750"/>
          <a:ext cx="48134"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176022</xdr:colOff>
      <xdr:row>45</xdr:row>
      <xdr:rowOff>44450</xdr:rowOff>
    </xdr:from>
    <xdr:to>
      <xdr:col>30</xdr:col>
      <xdr:colOff>252222</xdr:colOff>
      <xdr:row>45</xdr:row>
      <xdr:rowOff>215900</xdr:rowOff>
    </xdr:to>
    <xdr:sp macro="" textlink="">
      <xdr:nvSpPr>
        <xdr:cNvPr id="74510" name="46EndPoint"/>
        <xdr:cNvSpPr txBox="1"/>
      </xdr:nvSpPr>
      <xdr:spPr>
        <a:xfrm>
          <a:off x="16301847" y="112172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1/10</a:t>
          </a:r>
          <a:endParaRPr kumimoji="1" lang="ja-JP" altLang="en-US" sz="1000">
            <a:solidFill>
              <a:srgbClr val="000000"/>
            </a:solidFill>
          </a:endParaRPr>
        </a:p>
      </xdr:txBody>
    </xdr:sp>
    <xdr:clientData/>
  </xdr:twoCellAnchor>
  <xdr:twoCellAnchor>
    <xdr:from>
      <xdr:col>29</xdr:col>
      <xdr:colOff>169672</xdr:colOff>
      <xdr:row>46</xdr:row>
      <xdr:rowOff>85725</xdr:rowOff>
    </xdr:from>
    <xdr:to>
      <xdr:col>29</xdr:col>
      <xdr:colOff>217805</xdr:colOff>
      <xdr:row>46</xdr:row>
      <xdr:rowOff>161925</xdr:rowOff>
    </xdr:to>
    <xdr:sp macro="" textlink="">
      <xdr:nvSpPr>
        <xdr:cNvPr id="74511" name="47Graph"/>
        <xdr:cNvSpPr/>
      </xdr:nvSpPr>
      <xdr:spPr>
        <a:xfrm>
          <a:off x="16295497" y="11506200"/>
          <a:ext cx="48133"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169672</xdr:colOff>
      <xdr:row>46</xdr:row>
      <xdr:rowOff>161925</xdr:rowOff>
    </xdr:from>
    <xdr:to>
      <xdr:col>29</xdr:col>
      <xdr:colOff>217805</xdr:colOff>
      <xdr:row>46</xdr:row>
      <xdr:rowOff>200025</xdr:rowOff>
    </xdr:to>
    <xdr:sp macro="" textlink="">
      <xdr:nvSpPr>
        <xdr:cNvPr id="74512" name="47Results"/>
        <xdr:cNvSpPr/>
      </xdr:nvSpPr>
      <xdr:spPr>
        <a:xfrm>
          <a:off x="16295497" y="11582400"/>
          <a:ext cx="48133"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230378</xdr:colOff>
      <xdr:row>46</xdr:row>
      <xdr:rowOff>44450</xdr:rowOff>
    </xdr:from>
    <xdr:to>
      <xdr:col>30</xdr:col>
      <xdr:colOff>306578</xdr:colOff>
      <xdr:row>46</xdr:row>
      <xdr:rowOff>215900</xdr:rowOff>
    </xdr:to>
    <xdr:sp macro="" textlink="">
      <xdr:nvSpPr>
        <xdr:cNvPr id="74513" name="47EndPoint"/>
        <xdr:cNvSpPr txBox="1"/>
      </xdr:nvSpPr>
      <xdr:spPr>
        <a:xfrm>
          <a:off x="16356203" y="114649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1/11</a:t>
          </a:r>
          <a:endParaRPr kumimoji="1" lang="ja-JP" altLang="en-US" sz="1000">
            <a:solidFill>
              <a:srgbClr val="000000"/>
            </a:solidFill>
          </a:endParaRPr>
        </a:p>
      </xdr:txBody>
    </xdr:sp>
    <xdr:clientData/>
  </xdr:twoCellAnchor>
  <xdr:twoCellAnchor>
    <xdr:from>
      <xdr:col>25</xdr:col>
      <xdr:colOff>224028</xdr:colOff>
      <xdr:row>47</xdr:row>
      <xdr:rowOff>0</xdr:rowOff>
    </xdr:from>
    <xdr:to>
      <xdr:col>27</xdr:col>
      <xdr:colOff>108840</xdr:colOff>
      <xdr:row>48</xdr:row>
      <xdr:rowOff>0</xdr:rowOff>
    </xdr:to>
    <xdr:sp macro="" textlink="">
      <xdr:nvSpPr>
        <xdr:cNvPr id="74514" name="48Graph"/>
        <xdr:cNvSpPr/>
      </xdr:nvSpPr>
      <xdr:spPr>
        <a:xfrm>
          <a:off x="14825853" y="11668125"/>
          <a:ext cx="646812" cy="247650"/>
        </a:xfrm>
        <a:prstGeom prst="rect">
          <a:avLst/>
        </a:prstGeom>
        <a:gradFill flip="none" rotWithShape="1">
          <a:gsLst>
            <a:gs pos="0">
              <a:srgbClr val="4C6680"/>
            </a:gs>
            <a:gs pos="50000">
              <a:srgbClr val="FFFFFF"/>
            </a:gs>
            <a:gs pos="100000">
              <a:srgbClr val="CCE6FF"/>
            </a:gs>
          </a:gsLst>
          <a:lin ang="5400000" scaled="1"/>
          <a:tileRect/>
        </a:gra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kumimoji="1" lang="ja-JP" altLang="en-US" sz="1000">
              <a:solidFill>
                <a:srgbClr val="000000"/>
              </a:solidFill>
            </a:rPr>
            <a:t>出荷実績進捗確認画面</a:t>
          </a:r>
          <a:r>
            <a:rPr kumimoji="1" lang="en-US" altLang="ja-JP" sz="1000">
              <a:solidFill>
                <a:srgbClr val="000000"/>
              </a:solidFill>
            </a:rPr>
            <a:t>(12/15</a:t>
          </a:r>
          <a:r>
            <a:rPr kumimoji="1" lang="ja-JP" altLang="en-US" sz="1000">
              <a:solidFill>
                <a:srgbClr val="000000"/>
              </a:solidFill>
            </a:rPr>
            <a:t>～</a:t>
          </a:r>
          <a:r>
            <a:rPr kumimoji="1" lang="en-US" altLang="ja-JP" sz="1000">
              <a:solidFill>
                <a:srgbClr val="000000"/>
              </a:solidFill>
            </a:rPr>
            <a:t>12/26)</a:t>
          </a:r>
          <a:endParaRPr kumimoji="1" lang="ja-JP" altLang="en-US" sz="1000">
            <a:solidFill>
              <a:srgbClr val="000000"/>
            </a:solidFill>
          </a:endParaRPr>
        </a:p>
      </xdr:txBody>
    </xdr:sp>
    <xdr:clientData/>
  </xdr:twoCellAnchor>
  <xdr:twoCellAnchor>
    <xdr:from>
      <xdr:col>25</xdr:col>
      <xdr:colOff>224028</xdr:colOff>
      <xdr:row>48</xdr:row>
      <xdr:rowOff>85725</xdr:rowOff>
    </xdr:from>
    <xdr:to>
      <xdr:col>25</xdr:col>
      <xdr:colOff>272162</xdr:colOff>
      <xdr:row>48</xdr:row>
      <xdr:rowOff>161925</xdr:rowOff>
    </xdr:to>
    <xdr:sp macro="" textlink="">
      <xdr:nvSpPr>
        <xdr:cNvPr id="74515" name="49Graph"/>
        <xdr:cNvSpPr/>
      </xdr:nvSpPr>
      <xdr:spPr>
        <a:xfrm>
          <a:off x="14825853" y="12001500"/>
          <a:ext cx="48134"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115188</xdr:colOff>
      <xdr:row>48</xdr:row>
      <xdr:rowOff>161925</xdr:rowOff>
    </xdr:from>
    <xdr:to>
      <xdr:col>26</xdr:col>
      <xdr:colOff>163322</xdr:colOff>
      <xdr:row>48</xdr:row>
      <xdr:rowOff>200025</xdr:rowOff>
    </xdr:to>
    <xdr:sp macro="" textlink="">
      <xdr:nvSpPr>
        <xdr:cNvPr id="74516" name="49Results"/>
        <xdr:cNvSpPr/>
      </xdr:nvSpPr>
      <xdr:spPr>
        <a:xfrm>
          <a:off x="15098013" y="12077700"/>
          <a:ext cx="48134"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25</xdr:col>
      <xdr:colOff>284862</xdr:colOff>
      <xdr:row>48</xdr:row>
      <xdr:rowOff>44450</xdr:rowOff>
    </xdr:from>
    <xdr:to>
      <xdr:col>26</xdr:col>
      <xdr:colOff>361062</xdr:colOff>
      <xdr:row>48</xdr:row>
      <xdr:rowOff>215900</xdr:rowOff>
    </xdr:to>
    <xdr:sp macro="" textlink="">
      <xdr:nvSpPr>
        <xdr:cNvPr id="74517" name="49EndPoint"/>
        <xdr:cNvSpPr txBox="1"/>
      </xdr:nvSpPr>
      <xdr:spPr>
        <a:xfrm>
          <a:off x="14886687" y="119602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12/15</a:t>
          </a:r>
          <a:endParaRPr kumimoji="1" lang="ja-JP" altLang="en-US" sz="1000">
            <a:solidFill>
              <a:srgbClr val="000000"/>
            </a:solidFill>
          </a:endParaRPr>
        </a:p>
      </xdr:txBody>
    </xdr:sp>
    <xdr:clientData/>
  </xdr:twoCellAnchor>
  <xdr:twoCellAnchor>
    <xdr:from>
      <xdr:col>25</xdr:col>
      <xdr:colOff>278512</xdr:colOff>
      <xdr:row>49</xdr:row>
      <xdr:rowOff>85725</xdr:rowOff>
    </xdr:from>
    <xdr:to>
      <xdr:col>26</xdr:col>
      <xdr:colOff>163323</xdr:colOff>
      <xdr:row>49</xdr:row>
      <xdr:rowOff>161925</xdr:rowOff>
    </xdr:to>
    <xdr:sp macro="" textlink="">
      <xdr:nvSpPr>
        <xdr:cNvPr id="74518" name="50Graph"/>
        <xdr:cNvSpPr/>
      </xdr:nvSpPr>
      <xdr:spPr>
        <a:xfrm>
          <a:off x="14880337" y="12249150"/>
          <a:ext cx="265811"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115188</xdr:colOff>
      <xdr:row>49</xdr:row>
      <xdr:rowOff>161925</xdr:rowOff>
    </xdr:from>
    <xdr:to>
      <xdr:col>26</xdr:col>
      <xdr:colOff>272160</xdr:colOff>
      <xdr:row>49</xdr:row>
      <xdr:rowOff>200025</xdr:rowOff>
    </xdr:to>
    <xdr:sp macro="" textlink="">
      <xdr:nvSpPr>
        <xdr:cNvPr id="74519" name="50Results"/>
        <xdr:cNvSpPr/>
      </xdr:nvSpPr>
      <xdr:spPr>
        <a:xfrm>
          <a:off x="15098013" y="12325350"/>
          <a:ext cx="156972"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176022</xdr:colOff>
      <xdr:row>49</xdr:row>
      <xdr:rowOff>44450</xdr:rowOff>
    </xdr:from>
    <xdr:to>
      <xdr:col>27</xdr:col>
      <xdr:colOff>252222</xdr:colOff>
      <xdr:row>49</xdr:row>
      <xdr:rowOff>215900</xdr:rowOff>
    </xdr:to>
    <xdr:sp macro="" textlink="">
      <xdr:nvSpPr>
        <xdr:cNvPr id="74520" name="50EndPoint"/>
        <xdr:cNvSpPr txBox="1"/>
      </xdr:nvSpPr>
      <xdr:spPr>
        <a:xfrm>
          <a:off x="15158847" y="122078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12/20</a:t>
          </a:r>
          <a:endParaRPr kumimoji="1" lang="ja-JP" altLang="en-US" sz="1000">
            <a:solidFill>
              <a:srgbClr val="000000"/>
            </a:solidFill>
          </a:endParaRPr>
        </a:p>
      </xdr:txBody>
    </xdr:sp>
    <xdr:clientData/>
  </xdr:twoCellAnchor>
  <xdr:twoCellAnchor>
    <xdr:from>
      <xdr:col>26</xdr:col>
      <xdr:colOff>115188</xdr:colOff>
      <xdr:row>50</xdr:row>
      <xdr:rowOff>85725</xdr:rowOff>
    </xdr:from>
    <xdr:to>
      <xdr:col>26</xdr:col>
      <xdr:colOff>163322</xdr:colOff>
      <xdr:row>50</xdr:row>
      <xdr:rowOff>161925</xdr:rowOff>
    </xdr:to>
    <xdr:sp macro="" textlink="">
      <xdr:nvSpPr>
        <xdr:cNvPr id="74521" name="51Graph"/>
        <xdr:cNvSpPr/>
      </xdr:nvSpPr>
      <xdr:spPr>
        <a:xfrm>
          <a:off x="15098013" y="12496800"/>
          <a:ext cx="48134"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115188</xdr:colOff>
      <xdr:row>50</xdr:row>
      <xdr:rowOff>161925</xdr:rowOff>
    </xdr:from>
    <xdr:to>
      <xdr:col>26</xdr:col>
      <xdr:colOff>163322</xdr:colOff>
      <xdr:row>50</xdr:row>
      <xdr:rowOff>200025</xdr:rowOff>
    </xdr:to>
    <xdr:sp macro="" textlink="">
      <xdr:nvSpPr>
        <xdr:cNvPr id="74522" name="51Results"/>
        <xdr:cNvSpPr/>
      </xdr:nvSpPr>
      <xdr:spPr>
        <a:xfrm>
          <a:off x="15098013" y="12573000"/>
          <a:ext cx="48134"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176022</xdr:colOff>
      <xdr:row>50</xdr:row>
      <xdr:rowOff>44450</xdr:rowOff>
    </xdr:from>
    <xdr:to>
      <xdr:col>27</xdr:col>
      <xdr:colOff>252222</xdr:colOff>
      <xdr:row>50</xdr:row>
      <xdr:rowOff>215900</xdr:rowOff>
    </xdr:to>
    <xdr:sp macro="" textlink="">
      <xdr:nvSpPr>
        <xdr:cNvPr id="74523" name="51EndPoint"/>
        <xdr:cNvSpPr txBox="1"/>
      </xdr:nvSpPr>
      <xdr:spPr>
        <a:xfrm>
          <a:off x="15158847" y="124555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12/20</a:t>
          </a:r>
          <a:endParaRPr kumimoji="1" lang="ja-JP" altLang="en-US" sz="1000">
            <a:solidFill>
              <a:srgbClr val="000000"/>
            </a:solidFill>
          </a:endParaRPr>
        </a:p>
      </xdr:txBody>
    </xdr:sp>
    <xdr:clientData/>
  </xdr:twoCellAnchor>
  <xdr:twoCellAnchor>
    <xdr:from>
      <xdr:col>27</xdr:col>
      <xdr:colOff>117475</xdr:colOff>
      <xdr:row>49</xdr:row>
      <xdr:rowOff>79277</xdr:rowOff>
    </xdr:from>
    <xdr:to>
      <xdr:col>29</xdr:col>
      <xdr:colOff>337410</xdr:colOff>
      <xdr:row>49</xdr:row>
      <xdr:rowOff>238027</xdr:rowOff>
    </xdr:to>
    <xdr:sp macro="" textlink="">
      <xdr:nvSpPr>
        <xdr:cNvPr id="74524" name="51Comment"/>
        <xdr:cNvSpPr txBox="1"/>
      </xdr:nvSpPr>
      <xdr:spPr>
        <a:xfrm>
          <a:off x="15481300" y="12242702"/>
          <a:ext cx="981935" cy="158750"/>
        </a:xfrm>
        <a:prstGeom prst="rect">
          <a:avLst/>
        </a:prstGeom>
        <a:solidFill>
          <a:schemeClr val="lt1">
            <a:alpha val="10000"/>
          </a:scheme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spAutoFit/>
        </a:bodyPr>
        <a:lstStyle/>
        <a:p>
          <a:pPr algn="l"/>
          <a:r>
            <a:rPr kumimoji="1" lang="ja-JP" altLang="en-US" sz="900" b="0" i="0" u="none">
              <a:latin typeface="Meiryo UI"/>
            </a:rPr>
            <a:t>画面要件シート・
入出力定義書シート
</a:t>
          </a:r>
        </a:p>
      </xdr:txBody>
    </xdr:sp>
    <xdr:clientData/>
  </xdr:twoCellAnchor>
  <xdr:twoCellAnchor>
    <xdr:from>
      <xdr:col>26</xdr:col>
      <xdr:colOff>115188</xdr:colOff>
      <xdr:row>51</xdr:row>
      <xdr:rowOff>85725</xdr:rowOff>
    </xdr:from>
    <xdr:to>
      <xdr:col>26</xdr:col>
      <xdr:colOff>217677</xdr:colOff>
      <xdr:row>51</xdr:row>
      <xdr:rowOff>161925</xdr:rowOff>
    </xdr:to>
    <xdr:sp macro="" textlink="">
      <xdr:nvSpPr>
        <xdr:cNvPr id="74525" name="52Graph"/>
        <xdr:cNvSpPr/>
      </xdr:nvSpPr>
      <xdr:spPr>
        <a:xfrm>
          <a:off x="15098013" y="12744450"/>
          <a:ext cx="102489"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115188</xdr:colOff>
      <xdr:row>51</xdr:row>
      <xdr:rowOff>161925</xdr:rowOff>
    </xdr:from>
    <xdr:to>
      <xdr:col>26</xdr:col>
      <xdr:colOff>272160</xdr:colOff>
      <xdr:row>51</xdr:row>
      <xdr:rowOff>200025</xdr:rowOff>
    </xdr:to>
    <xdr:sp macro="" textlink="">
      <xdr:nvSpPr>
        <xdr:cNvPr id="74526" name="52Results"/>
        <xdr:cNvSpPr/>
      </xdr:nvSpPr>
      <xdr:spPr>
        <a:xfrm>
          <a:off x="15098013" y="12820650"/>
          <a:ext cx="156972"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230378</xdr:colOff>
      <xdr:row>51</xdr:row>
      <xdr:rowOff>44450</xdr:rowOff>
    </xdr:from>
    <xdr:to>
      <xdr:col>27</xdr:col>
      <xdr:colOff>306578</xdr:colOff>
      <xdr:row>51</xdr:row>
      <xdr:rowOff>215900</xdr:rowOff>
    </xdr:to>
    <xdr:sp macro="" textlink="">
      <xdr:nvSpPr>
        <xdr:cNvPr id="74527" name="52EndPoint"/>
        <xdr:cNvSpPr txBox="1"/>
      </xdr:nvSpPr>
      <xdr:spPr>
        <a:xfrm>
          <a:off x="15213203" y="127031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12/21</a:t>
          </a:r>
          <a:endParaRPr kumimoji="1" lang="ja-JP" altLang="en-US" sz="1000">
            <a:solidFill>
              <a:srgbClr val="000000"/>
            </a:solidFill>
          </a:endParaRPr>
        </a:p>
      </xdr:txBody>
    </xdr:sp>
    <xdr:clientData/>
  </xdr:twoCellAnchor>
  <xdr:twoCellAnchor>
    <xdr:from>
      <xdr:col>27</xdr:col>
      <xdr:colOff>168275</xdr:colOff>
      <xdr:row>50</xdr:row>
      <xdr:rowOff>79277</xdr:rowOff>
    </xdr:from>
    <xdr:to>
      <xdr:col>30</xdr:col>
      <xdr:colOff>7210</xdr:colOff>
      <xdr:row>50</xdr:row>
      <xdr:rowOff>238027</xdr:rowOff>
    </xdr:to>
    <xdr:sp macro="" textlink="">
      <xdr:nvSpPr>
        <xdr:cNvPr id="74528" name="52Comment"/>
        <xdr:cNvSpPr txBox="1"/>
      </xdr:nvSpPr>
      <xdr:spPr>
        <a:xfrm>
          <a:off x="15532100" y="12490352"/>
          <a:ext cx="981935" cy="158750"/>
        </a:xfrm>
        <a:prstGeom prst="rect">
          <a:avLst/>
        </a:prstGeom>
        <a:solidFill>
          <a:schemeClr val="lt1">
            <a:alpha val="10000"/>
          </a:scheme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spAutoFit/>
        </a:bodyPr>
        <a:lstStyle/>
        <a:p>
          <a:pPr algn="l"/>
          <a:r>
            <a:rPr kumimoji="1" lang="ja-JP" altLang="en-US" sz="900" b="0" i="0" u="none">
              <a:latin typeface="Meiryo UI"/>
            </a:rPr>
            <a:t>画面要件シート・
入出力定義書シート
</a:t>
          </a:r>
        </a:p>
      </xdr:txBody>
    </xdr:sp>
    <xdr:clientData/>
  </xdr:twoCellAnchor>
  <xdr:twoCellAnchor>
    <xdr:from>
      <xdr:col>26</xdr:col>
      <xdr:colOff>115188</xdr:colOff>
      <xdr:row>52</xdr:row>
      <xdr:rowOff>85725</xdr:rowOff>
    </xdr:from>
    <xdr:to>
      <xdr:col>26</xdr:col>
      <xdr:colOff>217677</xdr:colOff>
      <xdr:row>52</xdr:row>
      <xdr:rowOff>161925</xdr:rowOff>
    </xdr:to>
    <xdr:sp macro="" textlink="">
      <xdr:nvSpPr>
        <xdr:cNvPr id="74529" name="53Graph"/>
        <xdr:cNvSpPr/>
      </xdr:nvSpPr>
      <xdr:spPr>
        <a:xfrm>
          <a:off x="15098013" y="12992100"/>
          <a:ext cx="102489"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115188</xdr:colOff>
      <xdr:row>52</xdr:row>
      <xdr:rowOff>161925</xdr:rowOff>
    </xdr:from>
    <xdr:to>
      <xdr:col>26</xdr:col>
      <xdr:colOff>163322</xdr:colOff>
      <xdr:row>52</xdr:row>
      <xdr:rowOff>200025</xdr:rowOff>
    </xdr:to>
    <xdr:sp macro="" textlink="">
      <xdr:nvSpPr>
        <xdr:cNvPr id="74530" name="53Results"/>
        <xdr:cNvSpPr/>
      </xdr:nvSpPr>
      <xdr:spPr>
        <a:xfrm>
          <a:off x="15098013" y="13068300"/>
          <a:ext cx="48134"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230378</xdr:colOff>
      <xdr:row>52</xdr:row>
      <xdr:rowOff>44450</xdr:rowOff>
    </xdr:from>
    <xdr:to>
      <xdr:col>27</xdr:col>
      <xdr:colOff>306578</xdr:colOff>
      <xdr:row>52</xdr:row>
      <xdr:rowOff>215900</xdr:rowOff>
    </xdr:to>
    <xdr:sp macro="" textlink="">
      <xdr:nvSpPr>
        <xdr:cNvPr id="74531" name="53EndPoint"/>
        <xdr:cNvSpPr txBox="1"/>
      </xdr:nvSpPr>
      <xdr:spPr>
        <a:xfrm>
          <a:off x="15213203" y="129508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12/21</a:t>
          </a:r>
          <a:endParaRPr kumimoji="1" lang="ja-JP" altLang="en-US" sz="1000">
            <a:solidFill>
              <a:srgbClr val="000000"/>
            </a:solidFill>
          </a:endParaRPr>
        </a:p>
      </xdr:txBody>
    </xdr:sp>
    <xdr:clientData/>
  </xdr:twoCellAnchor>
  <xdr:twoCellAnchor>
    <xdr:from>
      <xdr:col>26</xdr:col>
      <xdr:colOff>224028</xdr:colOff>
      <xdr:row>53</xdr:row>
      <xdr:rowOff>85725</xdr:rowOff>
    </xdr:from>
    <xdr:to>
      <xdr:col>26</xdr:col>
      <xdr:colOff>272162</xdr:colOff>
      <xdr:row>53</xdr:row>
      <xdr:rowOff>161925</xdr:rowOff>
    </xdr:to>
    <xdr:sp macro="" textlink="">
      <xdr:nvSpPr>
        <xdr:cNvPr id="74532" name="54Graph"/>
        <xdr:cNvSpPr/>
      </xdr:nvSpPr>
      <xdr:spPr>
        <a:xfrm>
          <a:off x="15206853" y="13239750"/>
          <a:ext cx="48134"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115188</xdr:colOff>
      <xdr:row>53</xdr:row>
      <xdr:rowOff>161925</xdr:rowOff>
    </xdr:from>
    <xdr:to>
      <xdr:col>26</xdr:col>
      <xdr:colOff>272160</xdr:colOff>
      <xdr:row>53</xdr:row>
      <xdr:rowOff>200025</xdr:rowOff>
    </xdr:to>
    <xdr:sp macro="" textlink="">
      <xdr:nvSpPr>
        <xdr:cNvPr id="74533" name="54Results"/>
        <xdr:cNvSpPr/>
      </xdr:nvSpPr>
      <xdr:spPr>
        <a:xfrm>
          <a:off x="15098013" y="13315950"/>
          <a:ext cx="156972"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284862</xdr:colOff>
      <xdr:row>53</xdr:row>
      <xdr:rowOff>44450</xdr:rowOff>
    </xdr:from>
    <xdr:to>
      <xdr:col>27</xdr:col>
      <xdr:colOff>361062</xdr:colOff>
      <xdr:row>53</xdr:row>
      <xdr:rowOff>215900</xdr:rowOff>
    </xdr:to>
    <xdr:sp macro="" textlink="">
      <xdr:nvSpPr>
        <xdr:cNvPr id="74534" name="54EndPoint"/>
        <xdr:cNvSpPr txBox="1"/>
      </xdr:nvSpPr>
      <xdr:spPr>
        <a:xfrm>
          <a:off x="15267687" y="131984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12/22</a:t>
          </a:r>
          <a:endParaRPr kumimoji="1" lang="ja-JP" altLang="en-US" sz="1000">
            <a:solidFill>
              <a:srgbClr val="000000"/>
            </a:solidFill>
          </a:endParaRPr>
        </a:p>
      </xdr:txBody>
    </xdr:sp>
    <xdr:clientData/>
  </xdr:twoCellAnchor>
  <xdr:twoCellAnchor>
    <xdr:from>
      <xdr:col>26</xdr:col>
      <xdr:colOff>224028</xdr:colOff>
      <xdr:row>55</xdr:row>
      <xdr:rowOff>85725</xdr:rowOff>
    </xdr:from>
    <xdr:to>
      <xdr:col>26</xdr:col>
      <xdr:colOff>272162</xdr:colOff>
      <xdr:row>55</xdr:row>
      <xdr:rowOff>161925</xdr:rowOff>
    </xdr:to>
    <xdr:sp macro="" textlink="">
      <xdr:nvSpPr>
        <xdr:cNvPr id="74535" name="56Graph"/>
        <xdr:cNvSpPr/>
      </xdr:nvSpPr>
      <xdr:spPr>
        <a:xfrm>
          <a:off x="15206853" y="13735050"/>
          <a:ext cx="48134"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224028</xdr:colOff>
      <xdr:row>55</xdr:row>
      <xdr:rowOff>161925</xdr:rowOff>
    </xdr:from>
    <xdr:to>
      <xdr:col>26</xdr:col>
      <xdr:colOff>272162</xdr:colOff>
      <xdr:row>55</xdr:row>
      <xdr:rowOff>200025</xdr:rowOff>
    </xdr:to>
    <xdr:sp macro="" textlink="">
      <xdr:nvSpPr>
        <xdr:cNvPr id="74536" name="56Results"/>
        <xdr:cNvSpPr/>
      </xdr:nvSpPr>
      <xdr:spPr>
        <a:xfrm>
          <a:off x="15206853" y="13811250"/>
          <a:ext cx="48134"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284862</xdr:colOff>
      <xdr:row>55</xdr:row>
      <xdr:rowOff>44450</xdr:rowOff>
    </xdr:from>
    <xdr:to>
      <xdr:col>27</xdr:col>
      <xdr:colOff>361062</xdr:colOff>
      <xdr:row>55</xdr:row>
      <xdr:rowOff>215900</xdr:rowOff>
    </xdr:to>
    <xdr:sp macro="" textlink="">
      <xdr:nvSpPr>
        <xdr:cNvPr id="74537" name="56EndPoint"/>
        <xdr:cNvSpPr txBox="1"/>
      </xdr:nvSpPr>
      <xdr:spPr>
        <a:xfrm>
          <a:off x="15267687" y="136937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12/22</a:t>
          </a:r>
          <a:endParaRPr kumimoji="1" lang="ja-JP" altLang="en-US" sz="1000">
            <a:solidFill>
              <a:srgbClr val="000000"/>
            </a:solidFill>
          </a:endParaRPr>
        </a:p>
      </xdr:txBody>
    </xdr:sp>
    <xdr:clientData/>
  </xdr:twoCellAnchor>
  <xdr:twoCellAnchor>
    <xdr:from>
      <xdr:col>27</xdr:col>
      <xdr:colOff>6350</xdr:colOff>
      <xdr:row>56</xdr:row>
      <xdr:rowOff>85725</xdr:rowOff>
    </xdr:from>
    <xdr:to>
      <xdr:col>27</xdr:col>
      <xdr:colOff>54483</xdr:colOff>
      <xdr:row>56</xdr:row>
      <xdr:rowOff>161925</xdr:rowOff>
    </xdr:to>
    <xdr:sp macro="" textlink="">
      <xdr:nvSpPr>
        <xdr:cNvPr id="74538" name="57Graph"/>
        <xdr:cNvSpPr/>
      </xdr:nvSpPr>
      <xdr:spPr>
        <a:xfrm>
          <a:off x="15370175" y="13982700"/>
          <a:ext cx="48133"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224028</xdr:colOff>
      <xdr:row>56</xdr:row>
      <xdr:rowOff>161925</xdr:rowOff>
    </xdr:from>
    <xdr:to>
      <xdr:col>26</xdr:col>
      <xdr:colOff>272162</xdr:colOff>
      <xdr:row>56</xdr:row>
      <xdr:rowOff>200025</xdr:rowOff>
    </xdr:to>
    <xdr:sp macro="" textlink="">
      <xdr:nvSpPr>
        <xdr:cNvPr id="74539" name="57Results"/>
        <xdr:cNvSpPr/>
      </xdr:nvSpPr>
      <xdr:spPr>
        <a:xfrm>
          <a:off x="15206853" y="14058900"/>
          <a:ext cx="48134"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67183</xdr:colOff>
      <xdr:row>56</xdr:row>
      <xdr:rowOff>44450</xdr:rowOff>
    </xdr:from>
    <xdr:to>
      <xdr:col>28</xdr:col>
      <xdr:colOff>143383</xdr:colOff>
      <xdr:row>56</xdr:row>
      <xdr:rowOff>215900</xdr:rowOff>
    </xdr:to>
    <xdr:sp macro="" textlink="">
      <xdr:nvSpPr>
        <xdr:cNvPr id="74540" name="57EndPoint"/>
        <xdr:cNvSpPr txBox="1"/>
      </xdr:nvSpPr>
      <xdr:spPr>
        <a:xfrm>
          <a:off x="15431008" y="139414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12/25</a:t>
          </a:r>
          <a:endParaRPr kumimoji="1" lang="ja-JP" altLang="en-US" sz="1000">
            <a:solidFill>
              <a:srgbClr val="000000"/>
            </a:solidFill>
          </a:endParaRPr>
        </a:p>
      </xdr:txBody>
    </xdr:sp>
    <xdr:clientData/>
  </xdr:twoCellAnchor>
  <xdr:twoCellAnchor>
    <xdr:from>
      <xdr:col>27</xdr:col>
      <xdr:colOff>60833</xdr:colOff>
      <xdr:row>57</xdr:row>
      <xdr:rowOff>85725</xdr:rowOff>
    </xdr:from>
    <xdr:to>
      <xdr:col>27</xdr:col>
      <xdr:colOff>108967</xdr:colOff>
      <xdr:row>57</xdr:row>
      <xdr:rowOff>161925</xdr:rowOff>
    </xdr:to>
    <xdr:sp macro="" textlink="">
      <xdr:nvSpPr>
        <xdr:cNvPr id="74541" name="58Graph"/>
        <xdr:cNvSpPr/>
      </xdr:nvSpPr>
      <xdr:spPr>
        <a:xfrm>
          <a:off x="15424658" y="14230350"/>
          <a:ext cx="48134"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224028</xdr:colOff>
      <xdr:row>57</xdr:row>
      <xdr:rowOff>161925</xdr:rowOff>
    </xdr:from>
    <xdr:to>
      <xdr:col>26</xdr:col>
      <xdr:colOff>272162</xdr:colOff>
      <xdr:row>57</xdr:row>
      <xdr:rowOff>200025</xdr:rowOff>
    </xdr:to>
    <xdr:sp macro="" textlink="">
      <xdr:nvSpPr>
        <xdr:cNvPr id="74542" name="58Results"/>
        <xdr:cNvSpPr/>
      </xdr:nvSpPr>
      <xdr:spPr>
        <a:xfrm>
          <a:off x="15206853" y="14306550"/>
          <a:ext cx="48134"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121538</xdr:colOff>
      <xdr:row>57</xdr:row>
      <xdr:rowOff>44450</xdr:rowOff>
    </xdr:from>
    <xdr:to>
      <xdr:col>28</xdr:col>
      <xdr:colOff>197738</xdr:colOff>
      <xdr:row>57</xdr:row>
      <xdr:rowOff>215900</xdr:rowOff>
    </xdr:to>
    <xdr:sp macro="" textlink="">
      <xdr:nvSpPr>
        <xdr:cNvPr id="74543" name="58EndPoint"/>
        <xdr:cNvSpPr txBox="1"/>
      </xdr:nvSpPr>
      <xdr:spPr>
        <a:xfrm>
          <a:off x="15485363" y="141890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12/26</a:t>
          </a:r>
          <a:endParaRPr kumimoji="1" lang="ja-JP" altLang="en-US" sz="1000">
            <a:solidFill>
              <a:srgbClr val="000000"/>
            </a:solidFill>
          </a:endParaRPr>
        </a:p>
      </xdr:txBody>
    </xdr:sp>
    <xdr:clientData/>
  </xdr:twoCellAnchor>
  <xdr:twoCellAnchor>
    <xdr:from>
      <xdr:col>22</xdr:col>
      <xdr:colOff>115188</xdr:colOff>
      <xdr:row>58</xdr:row>
      <xdr:rowOff>0</xdr:rowOff>
    </xdr:from>
    <xdr:to>
      <xdr:col>25</xdr:col>
      <xdr:colOff>54355</xdr:colOff>
      <xdr:row>59</xdr:row>
      <xdr:rowOff>0</xdr:rowOff>
    </xdr:to>
    <xdr:sp macro="" textlink="">
      <xdr:nvSpPr>
        <xdr:cNvPr id="74544" name="59Graph"/>
        <xdr:cNvSpPr/>
      </xdr:nvSpPr>
      <xdr:spPr>
        <a:xfrm>
          <a:off x="13574013" y="14392275"/>
          <a:ext cx="1082167" cy="247650"/>
        </a:xfrm>
        <a:prstGeom prst="rect">
          <a:avLst/>
        </a:prstGeom>
        <a:gradFill flip="none" rotWithShape="1">
          <a:gsLst>
            <a:gs pos="0">
              <a:srgbClr val="4C6680"/>
            </a:gs>
            <a:gs pos="50000">
              <a:srgbClr val="FFFFFF"/>
            </a:gs>
            <a:gs pos="100000">
              <a:srgbClr val="CCE6FF"/>
            </a:gs>
          </a:gsLst>
          <a:lin ang="5400000" scaled="1"/>
          <a:tileRect/>
        </a:gra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kumimoji="1" lang="ja-JP" altLang="en-US" sz="1000">
              <a:solidFill>
                <a:srgbClr val="000000"/>
              </a:solidFill>
            </a:rPr>
            <a:t>需要予測チューニング画面</a:t>
          </a:r>
          <a:r>
            <a:rPr kumimoji="1" lang="en-US" altLang="ja-JP" sz="1000">
              <a:solidFill>
                <a:srgbClr val="000000"/>
              </a:solidFill>
            </a:rPr>
            <a:t>(11/22</a:t>
          </a:r>
          <a:r>
            <a:rPr kumimoji="1" lang="ja-JP" altLang="en-US" sz="1000">
              <a:solidFill>
                <a:srgbClr val="000000"/>
              </a:solidFill>
            </a:rPr>
            <a:t>～</a:t>
          </a:r>
          <a:r>
            <a:rPr kumimoji="1" lang="en-US" altLang="ja-JP" sz="1000">
              <a:solidFill>
                <a:srgbClr val="000000"/>
              </a:solidFill>
            </a:rPr>
            <a:t>12/11)</a:t>
          </a:r>
          <a:endParaRPr kumimoji="1" lang="ja-JP" altLang="en-US" sz="1000">
            <a:solidFill>
              <a:srgbClr val="000000"/>
            </a:solidFill>
          </a:endParaRPr>
        </a:p>
      </xdr:txBody>
    </xdr:sp>
    <xdr:clientData/>
  </xdr:twoCellAnchor>
  <xdr:twoCellAnchor>
    <xdr:from>
      <xdr:col>22</xdr:col>
      <xdr:colOff>115188</xdr:colOff>
      <xdr:row>59</xdr:row>
      <xdr:rowOff>85725</xdr:rowOff>
    </xdr:from>
    <xdr:to>
      <xdr:col>22</xdr:col>
      <xdr:colOff>163322</xdr:colOff>
      <xdr:row>59</xdr:row>
      <xdr:rowOff>161925</xdr:rowOff>
    </xdr:to>
    <xdr:sp macro="" textlink="">
      <xdr:nvSpPr>
        <xdr:cNvPr id="74545" name="60Graph"/>
        <xdr:cNvSpPr/>
      </xdr:nvSpPr>
      <xdr:spPr>
        <a:xfrm>
          <a:off x="13574013" y="14725650"/>
          <a:ext cx="48134"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23</xdr:col>
      <xdr:colOff>6350</xdr:colOff>
      <xdr:row>59</xdr:row>
      <xdr:rowOff>161925</xdr:rowOff>
    </xdr:from>
    <xdr:to>
      <xdr:col>23</xdr:col>
      <xdr:colOff>272162</xdr:colOff>
      <xdr:row>59</xdr:row>
      <xdr:rowOff>200025</xdr:rowOff>
    </xdr:to>
    <xdr:sp macro="" textlink="">
      <xdr:nvSpPr>
        <xdr:cNvPr id="74546" name="60Results"/>
        <xdr:cNvSpPr/>
      </xdr:nvSpPr>
      <xdr:spPr>
        <a:xfrm>
          <a:off x="13846175" y="14801850"/>
          <a:ext cx="265812"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22</xdr:col>
      <xdr:colOff>176022</xdr:colOff>
      <xdr:row>59</xdr:row>
      <xdr:rowOff>44450</xdr:rowOff>
    </xdr:from>
    <xdr:to>
      <xdr:col>23</xdr:col>
      <xdr:colOff>252222</xdr:colOff>
      <xdr:row>59</xdr:row>
      <xdr:rowOff>215900</xdr:rowOff>
    </xdr:to>
    <xdr:sp macro="" textlink="">
      <xdr:nvSpPr>
        <xdr:cNvPr id="74547" name="60EndPoint"/>
        <xdr:cNvSpPr txBox="1"/>
      </xdr:nvSpPr>
      <xdr:spPr>
        <a:xfrm>
          <a:off x="13634847" y="146843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11/22</a:t>
          </a:r>
          <a:endParaRPr kumimoji="1" lang="ja-JP" altLang="en-US" sz="1000">
            <a:solidFill>
              <a:srgbClr val="000000"/>
            </a:solidFill>
          </a:endParaRPr>
        </a:p>
      </xdr:txBody>
    </xdr:sp>
    <xdr:clientData/>
  </xdr:twoCellAnchor>
  <xdr:twoCellAnchor>
    <xdr:from>
      <xdr:col>22</xdr:col>
      <xdr:colOff>169672</xdr:colOff>
      <xdr:row>60</xdr:row>
      <xdr:rowOff>85725</xdr:rowOff>
    </xdr:from>
    <xdr:to>
      <xdr:col>24</xdr:col>
      <xdr:colOff>54483</xdr:colOff>
      <xdr:row>60</xdr:row>
      <xdr:rowOff>161925</xdr:rowOff>
    </xdr:to>
    <xdr:sp macro="" textlink="">
      <xdr:nvSpPr>
        <xdr:cNvPr id="74548" name="61Graph"/>
        <xdr:cNvSpPr/>
      </xdr:nvSpPr>
      <xdr:spPr>
        <a:xfrm>
          <a:off x="13628497" y="14973300"/>
          <a:ext cx="646811"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23</xdr:col>
      <xdr:colOff>6350</xdr:colOff>
      <xdr:row>60</xdr:row>
      <xdr:rowOff>161925</xdr:rowOff>
    </xdr:from>
    <xdr:to>
      <xdr:col>25</xdr:col>
      <xdr:colOff>272162</xdr:colOff>
      <xdr:row>60</xdr:row>
      <xdr:rowOff>200025</xdr:rowOff>
    </xdr:to>
    <xdr:sp macro="" textlink="">
      <xdr:nvSpPr>
        <xdr:cNvPr id="74549" name="61Results"/>
        <xdr:cNvSpPr/>
      </xdr:nvSpPr>
      <xdr:spPr>
        <a:xfrm>
          <a:off x="13846175" y="15049500"/>
          <a:ext cx="1027812"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24</xdr:col>
      <xdr:colOff>67183</xdr:colOff>
      <xdr:row>60</xdr:row>
      <xdr:rowOff>44450</xdr:rowOff>
    </xdr:from>
    <xdr:to>
      <xdr:col>25</xdr:col>
      <xdr:colOff>143383</xdr:colOff>
      <xdr:row>60</xdr:row>
      <xdr:rowOff>215900</xdr:rowOff>
    </xdr:to>
    <xdr:sp macro="" textlink="">
      <xdr:nvSpPr>
        <xdr:cNvPr id="74550" name="61EndPoint"/>
        <xdr:cNvSpPr txBox="1"/>
      </xdr:nvSpPr>
      <xdr:spPr>
        <a:xfrm>
          <a:off x="14288008" y="149320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12/4</a:t>
          </a:r>
          <a:endParaRPr kumimoji="1" lang="ja-JP" altLang="en-US" sz="1000">
            <a:solidFill>
              <a:srgbClr val="000000"/>
            </a:solidFill>
          </a:endParaRPr>
        </a:p>
      </xdr:txBody>
    </xdr:sp>
    <xdr:clientData/>
  </xdr:twoCellAnchor>
  <xdr:twoCellAnchor>
    <xdr:from>
      <xdr:col>24</xdr:col>
      <xdr:colOff>60833</xdr:colOff>
      <xdr:row>77</xdr:row>
      <xdr:rowOff>85725</xdr:rowOff>
    </xdr:from>
    <xdr:to>
      <xdr:col>24</xdr:col>
      <xdr:colOff>108967</xdr:colOff>
      <xdr:row>77</xdr:row>
      <xdr:rowOff>161925</xdr:rowOff>
    </xdr:to>
    <xdr:sp macro="" textlink="">
      <xdr:nvSpPr>
        <xdr:cNvPr id="74551" name="78Graph"/>
        <xdr:cNvSpPr/>
      </xdr:nvSpPr>
      <xdr:spPr>
        <a:xfrm>
          <a:off x="14281658" y="19183350"/>
          <a:ext cx="48134"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6350</xdr:colOff>
      <xdr:row>77</xdr:row>
      <xdr:rowOff>161925</xdr:rowOff>
    </xdr:from>
    <xdr:to>
      <xdr:col>26</xdr:col>
      <xdr:colOff>54483</xdr:colOff>
      <xdr:row>77</xdr:row>
      <xdr:rowOff>200025</xdr:rowOff>
    </xdr:to>
    <xdr:sp macro="" textlink="">
      <xdr:nvSpPr>
        <xdr:cNvPr id="74552" name="78Results"/>
        <xdr:cNvSpPr/>
      </xdr:nvSpPr>
      <xdr:spPr>
        <a:xfrm>
          <a:off x="14989175" y="19259550"/>
          <a:ext cx="48133"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24</xdr:col>
      <xdr:colOff>121538</xdr:colOff>
      <xdr:row>77</xdr:row>
      <xdr:rowOff>44450</xdr:rowOff>
    </xdr:from>
    <xdr:to>
      <xdr:col>25</xdr:col>
      <xdr:colOff>197738</xdr:colOff>
      <xdr:row>77</xdr:row>
      <xdr:rowOff>215900</xdr:rowOff>
    </xdr:to>
    <xdr:sp macro="" textlink="">
      <xdr:nvSpPr>
        <xdr:cNvPr id="74553" name="78EndPoint"/>
        <xdr:cNvSpPr txBox="1"/>
      </xdr:nvSpPr>
      <xdr:spPr>
        <a:xfrm>
          <a:off x="14342363" y="191420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12/5</a:t>
          </a:r>
          <a:endParaRPr kumimoji="1" lang="ja-JP" altLang="en-US" sz="1000">
            <a:solidFill>
              <a:srgbClr val="000000"/>
            </a:solidFill>
          </a:endParaRPr>
        </a:p>
      </xdr:txBody>
    </xdr:sp>
    <xdr:clientData/>
  </xdr:twoCellAnchor>
  <xdr:twoCellAnchor>
    <xdr:from>
      <xdr:col>24</xdr:col>
      <xdr:colOff>60833</xdr:colOff>
      <xdr:row>78</xdr:row>
      <xdr:rowOff>85725</xdr:rowOff>
    </xdr:from>
    <xdr:to>
      <xdr:col>24</xdr:col>
      <xdr:colOff>217805</xdr:colOff>
      <xdr:row>78</xdr:row>
      <xdr:rowOff>161925</xdr:rowOff>
    </xdr:to>
    <xdr:sp macro="" textlink="">
      <xdr:nvSpPr>
        <xdr:cNvPr id="74554" name="79Graph"/>
        <xdr:cNvSpPr/>
      </xdr:nvSpPr>
      <xdr:spPr>
        <a:xfrm>
          <a:off x="14281658" y="19431000"/>
          <a:ext cx="156972"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6350</xdr:colOff>
      <xdr:row>78</xdr:row>
      <xdr:rowOff>161925</xdr:rowOff>
    </xdr:from>
    <xdr:to>
      <xdr:col>26</xdr:col>
      <xdr:colOff>163322</xdr:colOff>
      <xdr:row>78</xdr:row>
      <xdr:rowOff>200025</xdr:rowOff>
    </xdr:to>
    <xdr:sp macro="" textlink="">
      <xdr:nvSpPr>
        <xdr:cNvPr id="74555" name="79Results"/>
        <xdr:cNvSpPr/>
      </xdr:nvSpPr>
      <xdr:spPr>
        <a:xfrm>
          <a:off x="14989175" y="19507200"/>
          <a:ext cx="156972"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24</xdr:col>
      <xdr:colOff>230378</xdr:colOff>
      <xdr:row>78</xdr:row>
      <xdr:rowOff>44450</xdr:rowOff>
    </xdr:from>
    <xdr:to>
      <xdr:col>25</xdr:col>
      <xdr:colOff>306578</xdr:colOff>
      <xdr:row>78</xdr:row>
      <xdr:rowOff>215900</xdr:rowOff>
    </xdr:to>
    <xdr:sp macro="" textlink="">
      <xdr:nvSpPr>
        <xdr:cNvPr id="74556" name="79EndPoint"/>
        <xdr:cNvSpPr txBox="1"/>
      </xdr:nvSpPr>
      <xdr:spPr>
        <a:xfrm>
          <a:off x="14451203" y="193897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12/7</a:t>
          </a:r>
          <a:endParaRPr kumimoji="1" lang="ja-JP" altLang="en-US" sz="1000">
            <a:solidFill>
              <a:srgbClr val="000000"/>
            </a:solidFill>
          </a:endParaRPr>
        </a:p>
      </xdr:txBody>
    </xdr:sp>
    <xdr:clientData/>
  </xdr:twoCellAnchor>
  <xdr:twoCellAnchor>
    <xdr:from>
      <xdr:col>24</xdr:col>
      <xdr:colOff>224028</xdr:colOff>
      <xdr:row>79</xdr:row>
      <xdr:rowOff>85725</xdr:rowOff>
    </xdr:from>
    <xdr:to>
      <xdr:col>25</xdr:col>
      <xdr:colOff>54356</xdr:colOff>
      <xdr:row>79</xdr:row>
      <xdr:rowOff>161925</xdr:rowOff>
    </xdr:to>
    <xdr:sp macro="" textlink="">
      <xdr:nvSpPr>
        <xdr:cNvPr id="74557" name="80Graph"/>
        <xdr:cNvSpPr/>
      </xdr:nvSpPr>
      <xdr:spPr>
        <a:xfrm>
          <a:off x="14444853" y="19678650"/>
          <a:ext cx="211328"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169672</xdr:colOff>
      <xdr:row>79</xdr:row>
      <xdr:rowOff>161925</xdr:rowOff>
    </xdr:from>
    <xdr:to>
      <xdr:col>26</xdr:col>
      <xdr:colOff>217805</xdr:colOff>
      <xdr:row>79</xdr:row>
      <xdr:rowOff>200025</xdr:rowOff>
    </xdr:to>
    <xdr:sp macro="" textlink="">
      <xdr:nvSpPr>
        <xdr:cNvPr id="74558" name="80Results"/>
        <xdr:cNvSpPr/>
      </xdr:nvSpPr>
      <xdr:spPr>
        <a:xfrm>
          <a:off x="15152497" y="19754850"/>
          <a:ext cx="48133"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25</xdr:col>
      <xdr:colOff>67183</xdr:colOff>
      <xdr:row>79</xdr:row>
      <xdr:rowOff>44450</xdr:rowOff>
    </xdr:from>
    <xdr:to>
      <xdr:col>26</xdr:col>
      <xdr:colOff>143383</xdr:colOff>
      <xdr:row>79</xdr:row>
      <xdr:rowOff>215900</xdr:rowOff>
    </xdr:to>
    <xdr:sp macro="" textlink="">
      <xdr:nvSpPr>
        <xdr:cNvPr id="74559" name="80EndPoint"/>
        <xdr:cNvSpPr txBox="1"/>
      </xdr:nvSpPr>
      <xdr:spPr>
        <a:xfrm>
          <a:off x="14669008" y="196373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12/11</a:t>
          </a:r>
          <a:endParaRPr kumimoji="1" lang="ja-JP" altLang="en-US" sz="1000">
            <a:solidFill>
              <a:srgbClr val="000000"/>
            </a:solidFill>
          </a:endParaRPr>
        </a:p>
      </xdr:txBody>
    </xdr:sp>
    <xdr:clientData/>
  </xdr:twoCellAnchor>
  <xdr:twoCellAnchor>
    <xdr:from>
      <xdr:col>22</xdr:col>
      <xdr:colOff>115188</xdr:colOff>
      <xdr:row>80</xdr:row>
      <xdr:rowOff>0</xdr:rowOff>
    </xdr:from>
    <xdr:to>
      <xdr:col>26</xdr:col>
      <xdr:colOff>54355</xdr:colOff>
      <xdr:row>81</xdr:row>
      <xdr:rowOff>0</xdr:rowOff>
    </xdr:to>
    <xdr:sp macro="" textlink="">
      <xdr:nvSpPr>
        <xdr:cNvPr id="74560" name="81Graph"/>
        <xdr:cNvSpPr/>
      </xdr:nvSpPr>
      <xdr:spPr>
        <a:xfrm>
          <a:off x="13574013" y="19840575"/>
          <a:ext cx="1463167" cy="247650"/>
        </a:xfrm>
        <a:prstGeom prst="rect">
          <a:avLst/>
        </a:prstGeom>
        <a:gradFill flip="none" rotWithShape="1">
          <a:gsLst>
            <a:gs pos="0">
              <a:srgbClr val="4C6680"/>
            </a:gs>
            <a:gs pos="50000">
              <a:srgbClr val="FFFFFF"/>
            </a:gs>
            <a:gs pos="100000">
              <a:srgbClr val="CCE6FF"/>
            </a:gs>
          </a:gsLst>
          <a:lin ang="5400000" scaled="1"/>
          <a:tileRect/>
        </a:gra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kumimoji="1" lang="ja-JP" altLang="en-US" sz="1000">
              <a:solidFill>
                <a:srgbClr val="000000"/>
              </a:solidFill>
            </a:rPr>
            <a:t>特売情報登録画面</a:t>
          </a:r>
          <a:r>
            <a:rPr kumimoji="1" lang="en-US" altLang="ja-JP" sz="1000">
              <a:solidFill>
                <a:srgbClr val="000000"/>
              </a:solidFill>
            </a:rPr>
            <a:t>(11/22</a:t>
          </a:r>
          <a:r>
            <a:rPr kumimoji="1" lang="ja-JP" altLang="en-US" sz="1000">
              <a:solidFill>
                <a:srgbClr val="000000"/>
              </a:solidFill>
            </a:rPr>
            <a:t>～</a:t>
          </a:r>
          <a:r>
            <a:rPr kumimoji="1" lang="en-US" altLang="ja-JP" sz="1000">
              <a:solidFill>
                <a:srgbClr val="000000"/>
              </a:solidFill>
            </a:rPr>
            <a:t>12/18)</a:t>
          </a:r>
          <a:endParaRPr kumimoji="1" lang="ja-JP" altLang="en-US" sz="1000">
            <a:solidFill>
              <a:srgbClr val="000000"/>
            </a:solidFill>
          </a:endParaRPr>
        </a:p>
      </xdr:txBody>
    </xdr:sp>
    <xdr:clientData/>
  </xdr:twoCellAnchor>
  <xdr:twoCellAnchor>
    <xdr:from>
      <xdr:col>22</xdr:col>
      <xdr:colOff>115188</xdr:colOff>
      <xdr:row>81</xdr:row>
      <xdr:rowOff>85725</xdr:rowOff>
    </xdr:from>
    <xdr:to>
      <xdr:col>22</xdr:col>
      <xdr:colOff>272160</xdr:colOff>
      <xdr:row>81</xdr:row>
      <xdr:rowOff>161925</xdr:rowOff>
    </xdr:to>
    <xdr:sp macro="" textlink="">
      <xdr:nvSpPr>
        <xdr:cNvPr id="74561" name="82Graph"/>
        <xdr:cNvSpPr/>
      </xdr:nvSpPr>
      <xdr:spPr>
        <a:xfrm>
          <a:off x="13574013" y="20173950"/>
          <a:ext cx="156972" cy="762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22</xdr:col>
      <xdr:colOff>224028</xdr:colOff>
      <xdr:row>81</xdr:row>
      <xdr:rowOff>161925</xdr:rowOff>
    </xdr:from>
    <xdr:to>
      <xdr:col>23</xdr:col>
      <xdr:colOff>272162</xdr:colOff>
      <xdr:row>81</xdr:row>
      <xdr:rowOff>200025</xdr:rowOff>
    </xdr:to>
    <xdr:sp macro="" textlink="">
      <xdr:nvSpPr>
        <xdr:cNvPr id="74562" name="82Results"/>
        <xdr:cNvSpPr/>
      </xdr:nvSpPr>
      <xdr:spPr>
        <a:xfrm>
          <a:off x="13682853" y="20250150"/>
          <a:ext cx="429134" cy="38100"/>
        </a:xfrm>
        <a:prstGeom prst="rect">
          <a:avLst/>
        </a:prstGeom>
        <a:solidFill>
          <a:srgbClr val="800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22</xdr:col>
      <xdr:colOff>284862</xdr:colOff>
      <xdr:row>81</xdr:row>
      <xdr:rowOff>44450</xdr:rowOff>
    </xdr:from>
    <xdr:to>
      <xdr:col>23</xdr:col>
      <xdr:colOff>361062</xdr:colOff>
      <xdr:row>81</xdr:row>
      <xdr:rowOff>215900</xdr:rowOff>
    </xdr:to>
    <xdr:sp macro="" textlink="">
      <xdr:nvSpPr>
        <xdr:cNvPr id="74563" name="82EndPoint"/>
        <xdr:cNvSpPr txBox="1"/>
      </xdr:nvSpPr>
      <xdr:spPr>
        <a:xfrm>
          <a:off x="13743687" y="201326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11/24</a:t>
          </a:r>
          <a:endParaRPr kumimoji="1" lang="ja-JP" altLang="en-US" sz="1000">
            <a:solidFill>
              <a:srgbClr val="000000"/>
            </a:solidFill>
          </a:endParaRPr>
        </a:p>
      </xdr:txBody>
    </xdr:sp>
    <xdr:clientData/>
  </xdr:twoCellAnchor>
  <xdr:twoCellAnchor>
    <xdr:from>
      <xdr:col>22</xdr:col>
      <xdr:colOff>278512</xdr:colOff>
      <xdr:row>82</xdr:row>
      <xdr:rowOff>85725</xdr:rowOff>
    </xdr:from>
    <xdr:to>
      <xdr:col>24</xdr:col>
      <xdr:colOff>217678</xdr:colOff>
      <xdr:row>82</xdr:row>
      <xdr:rowOff>161925</xdr:rowOff>
    </xdr:to>
    <xdr:sp macro="" textlink="">
      <xdr:nvSpPr>
        <xdr:cNvPr id="74564" name="83Graph"/>
        <xdr:cNvSpPr/>
      </xdr:nvSpPr>
      <xdr:spPr>
        <a:xfrm>
          <a:off x="13737337" y="20421600"/>
          <a:ext cx="701166" cy="762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23</xdr:col>
      <xdr:colOff>224028</xdr:colOff>
      <xdr:row>82</xdr:row>
      <xdr:rowOff>161925</xdr:rowOff>
    </xdr:from>
    <xdr:to>
      <xdr:col>25</xdr:col>
      <xdr:colOff>272162</xdr:colOff>
      <xdr:row>82</xdr:row>
      <xdr:rowOff>200025</xdr:rowOff>
    </xdr:to>
    <xdr:sp macro="" textlink="">
      <xdr:nvSpPr>
        <xdr:cNvPr id="74565" name="83Results"/>
        <xdr:cNvSpPr/>
      </xdr:nvSpPr>
      <xdr:spPr>
        <a:xfrm>
          <a:off x="14063853" y="20497800"/>
          <a:ext cx="810134" cy="38100"/>
        </a:xfrm>
        <a:prstGeom prst="rect">
          <a:avLst/>
        </a:prstGeom>
        <a:solidFill>
          <a:srgbClr val="800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24</xdr:col>
      <xdr:colOff>230378</xdr:colOff>
      <xdr:row>82</xdr:row>
      <xdr:rowOff>44450</xdr:rowOff>
    </xdr:from>
    <xdr:to>
      <xdr:col>25</xdr:col>
      <xdr:colOff>306578</xdr:colOff>
      <xdr:row>82</xdr:row>
      <xdr:rowOff>215900</xdr:rowOff>
    </xdr:to>
    <xdr:sp macro="" textlink="">
      <xdr:nvSpPr>
        <xdr:cNvPr id="74566" name="83EndPoint"/>
        <xdr:cNvSpPr txBox="1"/>
      </xdr:nvSpPr>
      <xdr:spPr>
        <a:xfrm>
          <a:off x="14451203" y="203803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12/7</a:t>
          </a:r>
          <a:endParaRPr kumimoji="1" lang="ja-JP" altLang="en-US" sz="1000">
            <a:solidFill>
              <a:srgbClr val="000000"/>
            </a:solidFill>
          </a:endParaRPr>
        </a:p>
      </xdr:txBody>
    </xdr:sp>
    <xdr:clientData/>
  </xdr:twoCellAnchor>
  <xdr:twoCellAnchor>
    <xdr:from>
      <xdr:col>24</xdr:col>
      <xdr:colOff>224028</xdr:colOff>
      <xdr:row>100</xdr:row>
      <xdr:rowOff>85725</xdr:rowOff>
    </xdr:from>
    <xdr:to>
      <xdr:col>24</xdr:col>
      <xdr:colOff>272162</xdr:colOff>
      <xdr:row>100</xdr:row>
      <xdr:rowOff>161925</xdr:rowOff>
    </xdr:to>
    <xdr:sp macro="" textlink="">
      <xdr:nvSpPr>
        <xdr:cNvPr id="74567" name="101Graph"/>
        <xdr:cNvSpPr/>
      </xdr:nvSpPr>
      <xdr:spPr>
        <a:xfrm>
          <a:off x="14444853" y="24879300"/>
          <a:ext cx="48134" cy="762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25</xdr:col>
      <xdr:colOff>224028</xdr:colOff>
      <xdr:row>100</xdr:row>
      <xdr:rowOff>161925</xdr:rowOff>
    </xdr:from>
    <xdr:to>
      <xdr:col>26</xdr:col>
      <xdr:colOff>54356</xdr:colOff>
      <xdr:row>100</xdr:row>
      <xdr:rowOff>200025</xdr:rowOff>
    </xdr:to>
    <xdr:sp macro="" textlink="">
      <xdr:nvSpPr>
        <xdr:cNvPr id="74568" name="101Results"/>
        <xdr:cNvSpPr/>
      </xdr:nvSpPr>
      <xdr:spPr>
        <a:xfrm>
          <a:off x="14825853" y="24955500"/>
          <a:ext cx="211328" cy="38100"/>
        </a:xfrm>
        <a:prstGeom prst="rect">
          <a:avLst/>
        </a:prstGeom>
        <a:solidFill>
          <a:srgbClr val="800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24</xdr:col>
      <xdr:colOff>284862</xdr:colOff>
      <xdr:row>100</xdr:row>
      <xdr:rowOff>44450</xdr:rowOff>
    </xdr:from>
    <xdr:to>
      <xdr:col>25</xdr:col>
      <xdr:colOff>361062</xdr:colOff>
      <xdr:row>100</xdr:row>
      <xdr:rowOff>215900</xdr:rowOff>
    </xdr:to>
    <xdr:sp macro="" textlink="">
      <xdr:nvSpPr>
        <xdr:cNvPr id="74569" name="101EndPoint"/>
        <xdr:cNvSpPr txBox="1"/>
      </xdr:nvSpPr>
      <xdr:spPr>
        <a:xfrm>
          <a:off x="14505687" y="248380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12/8</a:t>
          </a:r>
          <a:endParaRPr kumimoji="1" lang="ja-JP" altLang="en-US" sz="1000">
            <a:solidFill>
              <a:srgbClr val="000000"/>
            </a:solidFill>
          </a:endParaRPr>
        </a:p>
      </xdr:txBody>
    </xdr:sp>
    <xdr:clientData/>
  </xdr:twoCellAnchor>
  <xdr:twoCellAnchor>
    <xdr:from>
      <xdr:col>24</xdr:col>
      <xdr:colOff>224028</xdr:colOff>
      <xdr:row>101</xdr:row>
      <xdr:rowOff>85725</xdr:rowOff>
    </xdr:from>
    <xdr:to>
      <xdr:col>25</xdr:col>
      <xdr:colOff>163195</xdr:colOff>
      <xdr:row>101</xdr:row>
      <xdr:rowOff>161925</xdr:rowOff>
    </xdr:to>
    <xdr:sp macro="" textlink="">
      <xdr:nvSpPr>
        <xdr:cNvPr id="74570" name="102Graph"/>
        <xdr:cNvSpPr/>
      </xdr:nvSpPr>
      <xdr:spPr>
        <a:xfrm>
          <a:off x="14444853" y="25126950"/>
          <a:ext cx="320167" cy="762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6350</xdr:colOff>
      <xdr:row>101</xdr:row>
      <xdr:rowOff>161925</xdr:rowOff>
    </xdr:from>
    <xdr:to>
      <xdr:col>26</xdr:col>
      <xdr:colOff>108838</xdr:colOff>
      <xdr:row>101</xdr:row>
      <xdr:rowOff>200025</xdr:rowOff>
    </xdr:to>
    <xdr:sp macro="" textlink="">
      <xdr:nvSpPr>
        <xdr:cNvPr id="74571" name="102Results"/>
        <xdr:cNvSpPr/>
      </xdr:nvSpPr>
      <xdr:spPr>
        <a:xfrm>
          <a:off x="14989175" y="25203150"/>
          <a:ext cx="102488" cy="38100"/>
        </a:xfrm>
        <a:prstGeom prst="rect">
          <a:avLst/>
        </a:prstGeom>
        <a:solidFill>
          <a:srgbClr val="800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25</xdr:col>
      <xdr:colOff>176022</xdr:colOff>
      <xdr:row>101</xdr:row>
      <xdr:rowOff>44450</xdr:rowOff>
    </xdr:from>
    <xdr:to>
      <xdr:col>26</xdr:col>
      <xdr:colOff>252222</xdr:colOff>
      <xdr:row>101</xdr:row>
      <xdr:rowOff>215900</xdr:rowOff>
    </xdr:to>
    <xdr:sp macro="" textlink="">
      <xdr:nvSpPr>
        <xdr:cNvPr id="74572" name="102EndPoint"/>
        <xdr:cNvSpPr txBox="1"/>
      </xdr:nvSpPr>
      <xdr:spPr>
        <a:xfrm>
          <a:off x="14777847" y="250856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12/13</a:t>
          </a:r>
          <a:endParaRPr kumimoji="1" lang="ja-JP" altLang="en-US" sz="1000">
            <a:solidFill>
              <a:srgbClr val="000000"/>
            </a:solidFill>
          </a:endParaRPr>
        </a:p>
      </xdr:txBody>
    </xdr:sp>
    <xdr:clientData/>
  </xdr:twoCellAnchor>
  <xdr:twoCellAnchor>
    <xdr:from>
      <xdr:col>25</xdr:col>
      <xdr:colOff>169672</xdr:colOff>
      <xdr:row>102</xdr:row>
      <xdr:rowOff>85725</xdr:rowOff>
    </xdr:from>
    <xdr:to>
      <xdr:col>26</xdr:col>
      <xdr:colOff>54483</xdr:colOff>
      <xdr:row>102</xdr:row>
      <xdr:rowOff>161925</xdr:rowOff>
    </xdr:to>
    <xdr:sp macro="" textlink="">
      <xdr:nvSpPr>
        <xdr:cNvPr id="74573" name="103Graph"/>
        <xdr:cNvSpPr/>
      </xdr:nvSpPr>
      <xdr:spPr>
        <a:xfrm>
          <a:off x="14771497" y="25374600"/>
          <a:ext cx="265811" cy="762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60833</xdr:colOff>
      <xdr:row>102</xdr:row>
      <xdr:rowOff>161925</xdr:rowOff>
    </xdr:from>
    <xdr:to>
      <xdr:col>26</xdr:col>
      <xdr:colOff>163322</xdr:colOff>
      <xdr:row>102</xdr:row>
      <xdr:rowOff>200025</xdr:rowOff>
    </xdr:to>
    <xdr:sp macro="" textlink="">
      <xdr:nvSpPr>
        <xdr:cNvPr id="74574" name="103Results"/>
        <xdr:cNvSpPr/>
      </xdr:nvSpPr>
      <xdr:spPr>
        <a:xfrm>
          <a:off x="15043658" y="25450800"/>
          <a:ext cx="102489" cy="38100"/>
        </a:xfrm>
        <a:prstGeom prst="rect">
          <a:avLst/>
        </a:prstGeom>
        <a:solidFill>
          <a:srgbClr val="800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67183</xdr:colOff>
      <xdr:row>102</xdr:row>
      <xdr:rowOff>44450</xdr:rowOff>
    </xdr:from>
    <xdr:to>
      <xdr:col>27</xdr:col>
      <xdr:colOff>143383</xdr:colOff>
      <xdr:row>102</xdr:row>
      <xdr:rowOff>215900</xdr:rowOff>
    </xdr:to>
    <xdr:sp macro="" textlink="">
      <xdr:nvSpPr>
        <xdr:cNvPr id="74575" name="103EndPoint"/>
        <xdr:cNvSpPr txBox="1"/>
      </xdr:nvSpPr>
      <xdr:spPr>
        <a:xfrm>
          <a:off x="15050008" y="253333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12/18</a:t>
          </a:r>
          <a:endParaRPr kumimoji="1" lang="ja-JP" altLang="en-US" sz="1000">
            <a:solidFill>
              <a:srgbClr val="000000"/>
            </a:solidFill>
          </a:endParaRPr>
        </a:p>
      </xdr:txBody>
    </xdr:sp>
    <xdr:clientData/>
  </xdr:twoCellAnchor>
  <xdr:twoCellAnchor>
    <xdr:from>
      <xdr:col>26</xdr:col>
      <xdr:colOff>60833</xdr:colOff>
      <xdr:row>103</xdr:row>
      <xdr:rowOff>0</xdr:rowOff>
    </xdr:from>
    <xdr:to>
      <xdr:col>29</xdr:col>
      <xdr:colOff>272162</xdr:colOff>
      <xdr:row>104</xdr:row>
      <xdr:rowOff>0</xdr:rowOff>
    </xdr:to>
    <xdr:sp macro="" textlink="">
      <xdr:nvSpPr>
        <xdr:cNvPr id="74576" name="104Graph"/>
        <xdr:cNvSpPr/>
      </xdr:nvSpPr>
      <xdr:spPr>
        <a:xfrm>
          <a:off x="15043658" y="25536525"/>
          <a:ext cx="1354329" cy="247650"/>
        </a:xfrm>
        <a:prstGeom prst="rect">
          <a:avLst/>
        </a:prstGeom>
        <a:gradFill flip="none" rotWithShape="1">
          <a:gsLst>
            <a:gs pos="0">
              <a:srgbClr val="4C6680"/>
            </a:gs>
            <a:gs pos="50000">
              <a:srgbClr val="FFFFFF"/>
            </a:gs>
            <a:gs pos="100000">
              <a:srgbClr val="CCE6FF"/>
            </a:gs>
          </a:gsLst>
          <a:lin ang="5400000" scaled="1"/>
          <a:tileRect/>
        </a:gra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kumimoji="1" lang="ja-JP" altLang="en-US" sz="1000">
              <a:solidFill>
                <a:srgbClr val="000000"/>
              </a:solidFill>
            </a:rPr>
            <a:t>届け先按分比率設定画面</a:t>
          </a:r>
          <a:r>
            <a:rPr kumimoji="1" lang="en-US" altLang="ja-JP" sz="1000">
              <a:solidFill>
                <a:srgbClr val="000000"/>
              </a:solidFill>
            </a:rPr>
            <a:t>(12/19</a:t>
          </a:r>
          <a:r>
            <a:rPr kumimoji="1" lang="ja-JP" altLang="en-US" sz="1000">
              <a:solidFill>
                <a:srgbClr val="000000"/>
              </a:solidFill>
            </a:rPr>
            <a:t>～</a:t>
          </a:r>
          <a:r>
            <a:rPr kumimoji="1" lang="en-US" altLang="ja-JP" sz="1000">
              <a:solidFill>
                <a:srgbClr val="000000"/>
              </a:solidFill>
            </a:rPr>
            <a:t>1/12)</a:t>
          </a:r>
          <a:endParaRPr kumimoji="1" lang="ja-JP" altLang="en-US" sz="1000">
            <a:solidFill>
              <a:srgbClr val="000000"/>
            </a:solidFill>
          </a:endParaRPr>
        </a:p>
      </xdr:txBody>
    </xdr:sp>
    <xdr:clientData/>
  </xdr:twoCellAnchor>
  <xdr:twoCellAnchor>
    <xdr:from>
      <xdr:col>26</xdr:col>
      <xdr:colOff>60833</xdr:colOff>
      <xdr:row>104</xdr:row>
      <xdr:rowOff>85725</xdr:rowOff>
    </xdr:from>
    <xdr:to>
      <xdr:col>26</xdr:col>
      <xdr:colOff>108967</xdr:colOff>
      <xdr:row>104</xdr:row>
      <xdr:rowOff>161925</xdr:rowOff>
    </xdr:to>
    <xdr:sp macro="" textlink="">
      <xdr:nvSpPr>
        <xdr:cNvPr id="74577" name="105Graph"/>
        <xdr:cNvSpPr/>
      </xdr:nvSpPr>
      <xdr:spPr>
        <a:xfrm>
          <a:off x="15043658" y="25869900"/>
          <a:ext cx="48134" cy="762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169672</xdr:colOff>
      <xdr:row>104</xdr:row>
      <xdr:rowOff>161925</xdr:rowOff>
    </xdr:from>
    <xdr:to>
      <xdr:col>26</xdr:col>
      <xdr:colOff>217805</xdr:colOff>
      <xdr:row>104</xdr:row>
      <xdr:rowOff>200025</xdr:rowOff>
    </xdr:to>
    <xdr:sp macro="" textlink="">
      <xdr:nvSpPr>
        <xdr:cNvPr id="74578" name="105Results"/>
        <xdr:cNvSpPr/>
      </xdr:nvSpPr>
      <xdr:spPr>
        <a:xfrm>
          <a:off x="15152497" y="25946100"/>
          <a:ext cx="48133" cy="38100"/>
        </a:xfrm>
        <a:prstGeom prst="rect">
          <a:avLst/>
        </a:prstGeom>
        <a:solidFill>
          <a:srgbClr val="800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121538</xdr:colOff>
      <xdr:row>104</xdr:row>
      <xdr:rowOff>44450</xdr:rowOff>
    </xdr:from>
    <xdr:to>
      <xdr:col>27</xdr:col>
      <xdr:colOff>197738</xdr:colOff>
      <xdr:row>104</xdr:row>
      <xdr:rowOff>215900</xdr:rowOff>
    </xdr:to>
    <xdr:sp macro="" textlink="">
      <xdr:nvSpPr>
        <xdr:cNvPr id="74579" name="105EndPoint"/>
        <xdr:cNvSpPr txBox="1"/>
      </xdr:nvSpPr>
      <xdr:spPr>
        <a:xfrm>
          <a:off x="15104363" y="258286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12/19</a:t>
          </a:r>
          <a:endParaRPr kumimoji="1" lang="ja-JP" altLang="en-US" sz="1000">
            <a:solidFill>
              <a:srgbClr val="000000"/>
            </a:solidFill>
          </a:endParaRPr>
        </a:p>
      </xdr:txBody>
    </xdr:sp>
    <xdr:clientData/>
  </xdr:twoCellAnchor>
  <xdr:twoCellAnchor>
    <xdr:from>
      <xdr:col>26</xdr:col>
      <xdr:colOff>115188</xdr:colOff>
      <xdr:row>105</xdr:row>
      <xdr:rowOff>85725</xdr:rowOff>
    </xdr:from>
    <xdr:to>
      <xdr:col>27</xdr:col>
      <xdr:colOff>163322</xdr:colOff>
      <xdr:row>105</xdr:row>
      <xdr:rowOff>161925</xdr:rowOff>
    </xdr:to>
    <xdr:sp macro="" textlink="">
      <xdr:nvSpPr>
        <xdr:cNvPr id="74580" name="106Graph"/>
        <xdr:cNvSpPr/>
      </xdr:nvSpPr>
      <xdr:spPr>
        <a:xfrm>
          <a:off x="15098013" y="26117550"/>
          <a:ext cx="429134" cy="762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169672</xdr:colOff>
      <xdr:row>105</xdr:row>
      <xdr:rowOff>161925</xdr:rowOff>
    </xdr:from>
    <xdr:to>
      <xdr:col>26</xdr:col>
      <xdr:colOff>217805</xdr:colOff>
      <xdr:row>105</xdr:row>
      <xdr:rowOff>200025</xdr:rowOff>
    </xdr:to>
    <xdr:sp macro="" textlink="">
      <xdr:nvSpPr>
        <xdr:cNvPr id="74581" name="106Results"/>
        <xdr:cNvSpPr/>
      </xdr:nvSpPr>
      <xdr:spPr>
        <a:xfrm>
          <a:off x="15152497" y="26193750"/>
          <a:ext cx="48133" cy="38100"/>
        </a:xfrm>
        <a:prstGeom prst="rect">
          <a:avLst/>
        </a:prstGeom>
        <a:solidFill>
          <a:srgbClr val="800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176022</xdr:colOff>
      <xdr:row>105</xdr:row>
      <xdr:rowOff>44450</xdr:rowOff>
    </xdr:from>
    <xdr:to>
      <xdr:col>28</xdr:col>
      <xdr:colOff>252222</xdr:colOff>
      <xdr:row>105</xdr:row>
      <xdr:rowOff>215900</xdr:rowOff>
    </xdr:to>
    <xdr:sp macro="" textlink="">
      <xdr:nvSpPr>
        <xdr:cNvPr id="74582" name="106EndPoint"/>
        <xdr:cNvSpPr txBox="1"/>
      </xdr:nvSpPr>
      <xdr:spPr>
        <a:xfrm>
          <a:off x="15539847" y="260762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12/27</a:t>
          </a:r>
          <a:endParaRPr kumimoji="1" lang="ja-JP" altLang="en-US" sz="1000">
            <a:solidFill>
              <a:srgbClr val="000000"/>
            </a:solidFill>
          </a:endParaRPr>
        </a:p>
      </xdr:txBody>
    </xdr:sp>
    <xdr:clientData/>
  </xdr:twoCellAnchor>
  <xdr:twoCellAnchor>
    <xdr:from>
      <xdr:col>26</xdr:col>
      <xdr:colOff>169672</xdr:colOff>
      <xdr:row>106</xdr:row>
      <xdr:rowOff>85725</xdr:rowOff>
    </xdr:from>
    <xdr:to>
      <xdr:col>26</xdr:col>
      <xdr:colOff>217805</xdr:colOff>
      <xdr:row>106</xdr:row>
      <xdr:rowOff>161925</xdr:rowOff>
    </xdr:to>
    <xdr:sp macro="" textlink="">
      <xdr:nvSpPr>
        <xdr:cNvPr id="74583" name="107Graph"/>
        <xdr:cNvSpPr/>
      </xdr:nvSpPr>
      <xdr:spPr>
        <a:xfrm>
          <a:off x="15152497" y="26365200"/>
          <a:ext cx="48133" cy="762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169672</xdr:colOff>
      <xdr:row>106</xdr:row>
      <xdr:rowOff>161925</xdr:rowOff>
    </xdr:from>
    <xdr:to>
      <xdr:col>26</xdr:col>
      <xdr:colOff>217805</xdr:colOff>
      <xdr:row>106</xdr:row>
      <xdr:rowOff>200025</xdr:rowOff>
    </xdr:to>
    <xdr:sp macro="" textlink="">
      <xdr:nvSpPr>
        <xdr:cNvPr id="74584" name="107Results"/>
        <xdr:cNvSpPr/>
      </xdr:nvSpPr>
      <xdr:spPr>
        <a:xfrm>
          <a:off x="15152497" y="26441400"/>
          <a:ext cx="48133" cy="38100"/>
        </a:xfrm>
        <a:prstGeom prst="rect">
          <a:avLst/>
        </a:prstGeom>
        <a:solidFill>
          <a:srgbClr val="800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230378</xdr:colOff>
      <xdr:row>106</xdr:row>
      <xdr:rowOff>44450</xdr:rowOff>
    </xdr:from>
    <xdr:to>
      <xdr:col>27</xdr:col>
      <xdr:colOff>306578</xdr:colOff>
      <xdr:row>106</xdr:row>
      <xdr:rowOff>215900</xdr:rowOff>
    </xdr:to>
    <xdr:sp macro="" textlink="">
      <xdr:nvSpPr>
        <xdr:cNvPr id="74585" name="107EndPoint"/>
        <xdr:cNvSpPr txBox="1"/>
      </xdr:nvSpPr>
      <xdr:spPr>
        <a:xfrm>
          <a:off x="15213203" y="263239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12/21</a:t>
          </a:r>
          <a:endParaRPr kumimoji="1" lang="ja-JP" altLang="en-US" sz="1000">
            <a:solidFill>
              <a:srgbClr val="000000"/>
            </a:solidFill>
          </a:endParaRPr>
        </a:p>
      </xdr:txBody>
    </xdr:sp>
    <xdr:clientData/>
  </xdr:twoCellAnchor>
  <xdr:twoCellAnchor>
    <xdr:from>
      <xdr:col>27</xdr:col>
      <xdr:colOff>168275</xdr:colOff>
      <xdr:row>105</xdr:row>
      <xdr:rowOff>79277</xdr:rowOff>
    </xdr:from>
    <xdr:to>
      <xdr:col>30</xdr:col>
      <xdr:colOff>7210</xdr:colOff>
      <xdr:row>105</xdr:row>
      <xdr:rowOff>238027</xdr:rowOff>
    </xdr:to>
    <xdr:sp macro="" textlink="">
      <xdr:nvSpPr>
        <xdr:cNvPr id="74586" name="107Comment"/>
        <xdr:cNvSpPr txBox="1"/>
      </xdr:nvSpPr>
      <xdr:spPr>
        <a:xfrm>
          <a:off x="15532100" y="26111102"/>
          <a:ext cx="981935" cy="158750"/>
        </a:xfrm>
        <a:prstGeom prst="rect">
          <a:avLst/>
        </a:prstGeom>
        <a:solidFill>
          <a:schemeClr val="lt1">
            <a:alpha val="10000"/>
          </a:scheme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spAutoFit/>
        </a:bodyPr>
        <a:lstStyle/>
        <a:p>
          <a:pPr algn="l"/>
          <a:r>
            <a:rPr kumimoji="1" lang="ja-JP" altLang="en-US" sz="900" b="0" i="0" u="none">
              <a:latin typeface="Meiryo UI"/>
            </a:rPr>
            <a:t>画面要件シート・
入出力定義書シート
</a:t>
          </a:r>
        </a:p>
      </xdr:txBody>
    </xdr:sp>
    <xdr:clientData/>
  </xdr:twoCellAnchor>
  <xdr:twoCellAnchor>
    <xdr:from>
      <xdr:col>26</xdr:col>
      <xdr:colOff>224028</xdr:colOff>
      <xdr:row>107</xdr:row>
      <xdr:rowOff>85725</xdr:rowOff>
    </xdr:from>
    <xdr:to>
      <xdr:col>27</xdr:col>
      <xdr:colOff>54356</xdr:colOff>
      <xdr:row>107</xdr:row>
      <xdr:rowOff>161925</xdr:rowOff>
    </xdr:to>
    <xdr:sp macro="" textlink="">
      <xdr:nvSpPr>
        <xdr:cNvPr id="74587" name="108Graph"/>
        <xdr:cNvSpPr/>
      </xdr:nvSpPr>
      <xdr:spPr>
        <a:xfrm>
          <a:off x="15206853" y="26612850"/>
          <a:ext cx="211328" cy="762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169672</xdr:colOff>
      <xdr:row>107</xdr:row>
      <xdr:rowOff>161925</xdr:rowOff>
    </xdr:from>
    <xdr:to>
      <xdr:col>26</xdr:col>
      <xdr:colOff>272160</xdr:colOff>
      <xdr:row>107</xdr:row>
      <xdr:rowOff>200025</xdr:rowOff>
    </xdr:to>
    <xdr:sp macro="" textlink="">
      <xdr:nvSpPr>
        <xdr:cNvPr id="74588" name="108Results"/>
        <xdr:cNvSpPr/>
      </xdr:nvSpPr>
      <xdr:spPr>
        <a:xfrm>
          <a:off x="15152497" y="26689050"/>
          <a:ext cx="102488" cy="38100"/>
        </a:xfrm>
        <a:prstGeom prst="rect">
          <a:avLst/>
        </a:prstGeom>
        <a:solidFill>
          <a:srgbClr val="800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67183</xdr:colOff>
      <xdr:row>107</xdr:row>
      <xdr:rowOff>44450</xdr:rowOff>
    </xdr:from>
    <xdr:to>
      <xdr:col>28</xdr:col>
      <xdr:colOff>143383</xdr:colOff>
      <xdr:row>107</xdr:row>
      <xdr:rowOff>215900</xdr:rowOff>
    </xdr:to>
    <xdr:sp macro="" textlink="">
      <xdr:nvSpPr>
        <xdr:cNvPr id="74589" name="108EndPoint"/>
        <xdr:cNvSpPr txBox="1"/>
      </xdr:nvSpPr>
      <xdr:spPr>
        <a:xfrm>
          <a:off x="15431008" y="265715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12/25</a:t>
          </a:r>
          <a:endParaRPr kumimoji="1" lang="ja-JP" altLang="en-US" sz="1000">
            <a:solidFill>
              <a:srgbClr val="000000"/>
            </a:solidFill>
          </a:endParaRPr>
        </a:p>
      </xdr:txBody>
    </xdr:sp>
    <xdr:clientData/>
  </xdr:twoCellAnchor>
  <xdr:twoCellAnchor>
    <xdr:from>
      <xdr:col>28</xdr:col>
      <xdr:colOff>3175</xdr:colOff>
      <xdr:row>106</xdr:row>
      <xdr:rowOff>79277</xdr:rowOff>
    </xdr:from>
    <xdr:to>
      <xdr:col>30</xdr:col>
      <xdr:colOff>223110</xdr:colOff>
      <xdr:row>106</xdr:row>
      <xdr:rowOff>238027</xdr:rowOff>
    </xdr:to>
    <xdr:sp macro="" textlink="">
      <xdr:nvSpPr>
        <xdr:cNvPr id="74590" name="108Comment"/>
        <xdr:cNvSpPr txBox="1"/>
      </xdr:nvSpPr>
      <xdr:spPr>
        <a:xfrm>
          <a:off x="15748000" y="26358752"/>
          <a:ext cx="981935" cy="158750"/>
        </a:xfrm>
        <a:prstGeom prst="rect">
          <a:avLst/>
        </a:prstGeom>
        <a:solidFill>
          <a:schemeClr val="lt1">
            <a:alpha val="10000"/>
          </a:scheme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spAutoFit/>
        </a:bodyPr>
        <a:lstStyle/>
        <a:p>
          <a:pPr algn="l"/>
          <a:r>
            <a:rPr kumimoji="1" lang="ja-JP" altLang="en-US" sz="900" b="0" i="0" u="none">
              <a:latin typeface="Meiryo UI"/>
            </a:rPr>
            <a:t>画面要件シート・
入出力定義書シート
</a:t>
          </a:r>
        </a:p>
      </xdr:txBody>
    </xdr:sp>
    <xdr:clientData/>
  </xdr:twoCellAnchor>
  <xdr:twoCellAnchor>
    <xdr:from>
      <xdr:col>26</xdr:col>
      <xdr:colOff>169672</xdr:colOff>
      <xdr:row>108</xdr:row>
      <xdr:rowOff>85725</xdr:rowOff>
    </xdr:from>
    <xdr:to>
      <xdr:col>26</xdr:col>
      <xdr:colOff>217805</xdr:colOff>
      <xdr:row>108</xdr:row>
      <xdr:rowOff>161925</xdr:rowOff>
    </xdr:to>
    <xdr:sp macro="" textlink="">
      <xdr:nvSpPr>
        <xdr:cNvPr id="74591" name="109Graph"/>
        <xdr:cNvSpPr/>
      </xdr:nvSpPr>
      <xdr:spPr>
        <a:xfrm>
          <a:off x="15152497" y="26860500"/>
          <a:ext cx="48133" cy="762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169672</xdr:colOff>
      <xdr:row>108</xdr:row>
      <xdr:rowOff>161925</xdr:rowOff>
    </xdr:from>
    <xdr:to>
      <xdr:col>26</xdr:col>
      <xdr:colOff>217805</xdr:colOff>
      <xdr:row>108</xdr:row>
      <xdr:rowOff>200025</xdr:rowOff>
    </xdr:to>
    <xdr:sp macro="" textlink="">
      <xdr:nvSpPr>
        <xdr:cNvPr id="74592" name="109Results"/>
        <xdr:cNvSpPr/>
      </xdr:nvSpPr>
      <xdr:spPr>
        <a:xfrm>
          <a:off x="15152497" y="26936700"/>
          <a:ext cx="48133" cy="38100"/>
        </a:xfrm>
        <a:prstGeom prst="rect">
          <a:avLst/>
        </a:prstGeom>
        <a:solidFill>
          <a:srgbClr val="800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230378</xdr:colOff>
      <xdr:row>108</xdr:row>
      <xdr:rowOff>44450</xdr:rowOff>
    </xdr:from>
    <xdr:to>
      <xdr:col>27</xdr:col>
      <xdr:colOff>306578</xdr:colOff>
      <xdr:row>108</xdr:row>
      <xdr:rowOff>215900</xdr:rowOff>
    </xdr:to>
    <xdr:sp macro="" textlink="">
      <xdr:nvSpPr>
        <xdr:cNvPr id="74593" name="109EndPoint"/>
        <xdr:cNvSpPr txBox="1"/>
      </xdr:nvSpPr>
      <xdr:spPr>
        <a:xfrm>
          <a:off x="15213203" y="268192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12/21</a:t>
          </a:r>
          <a:endParaRPr kumimoji="1" lang="ja-JP" altLang="en-US" sz="1000">
            <a:solidFill>
              <a:srgbClr val="000000"/>
            </a:solidFill>
          </a:endParaRPr>
        </a:p>
      </xdr:txBody>
    </xdr:sp>
    <xdr:clientData/>
  </xdr:twoCellAnchor>
  <xdr:twoCellAnchor>
    <xdr:from>
      <xdr:col>26</xdr:col>
      <xdr:colOff>169672</xdr:colOff>
      <xdr:row>109</xdr:row>
      <xdr:rowOff>85725</xdr:rowOff>
    </xdr:from>
    <xdr:to>
      <xdr:col>27</xdr:col>
      <xdr:colOff>54483</xdr:colOff>
      <xdr:row>109</xdr:row>
      <xdr:rowOff>161925</xdr:rowOff>
    </xdr:to>
    <xdr:sp macro="" textlink="">
      <xdr:nvSpPr>
        <xdr:cNvPr id="74594" name="110Graph"/>
        <xdr:cNvSpPr/>
      </xdr:nvSpPr>
      <xdr:spPr>
        <a:xfrm>
          <a:off x="15152497" y="27108150"/>
          <a:ext cx="265811" cy="762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169672</xdr:colOff>
      <xdr:row>109</xdr:row>
      <xdr:rowOff>161925</xdr:rowOff>
    </xdr:from>
    <xdr:to>
      <xdr:col>26</xdr:col>
      <xdr:colOff>272160</xdr:colOff>
      <xdr:row>109</xdr:row>
      <xdr:rowOff>200025</xdr:rowOff>
    </xdr:to>
    <xdr:sp macro="" textlink="">
      <xdr:nvSpPr>
        <xdr:cNvPr id="74595" name="110Results"/>
        <xdr:cNvSpPr/>
      </xdr:nvSpPr>
      <xdr:spPr>
        <a:xfrm>
          <a:off x="15152497" y="27184350"/>
          <a:ext cx="102488" cy="38100"/>
        </a:xfrm>
        <a:prstGeom prst="rect">
          <a:avLst/>
        </a:prstGeom>
        <a:solidFill>
          <a:srgbClr val="800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67183</xdr:colOff>
      <xdr:row>109</xdr:row>
      <xdr:rowOff>44450</xdr:rowOff>
    </xdr:from>
    <xdr:to>
      <xdr:col>28</xdr:col>
      <xdr:colOff>143383</xdr:colOff>
      <xdr:row>109</xdr:row>
      <xdr:rowOff>215900</xdr:rowOff>
    </xdr:to>
    <xdr:sp macro="" textlink="">
      <xdr:nvSpPr>
        <xdr:cNvPr id="74596" name="110EndPoint"/>
        <xdr:cNvSpPr txBox="1"/>
      </xdr:nvSpPr>
      <xdr:spPr>
        <a:xfrm>
          <a:off x="15431008" y="270668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12/25</a:t>
          </a:r>
          <a:endParaRPr kumimoji="1" lang="ja-JP" altLang="en-US" sz="1000">
            <a:solidFill>
              <a:srgbClr val="000000"/>
            </a:solidFill>
          </a:endParaRPr>
        </a:p>
      </xdr:txBody>
    </xdr:sp>
    <xdr:clientData/>
  </xdr:twoCellAnchor>
  <xdr:twoCellAnchor>
    <xdr:from>
      <xdr:col>27</xdr:col>
      <xdr:colOff>6350</xdr:colOff>
      <xdr:row>110</xdr:row>
      <xdr:rowOff>85725</xdr:rowOff>
    </xdr:from>
    <xdr:to>
      <xdr:col>27</xdr:col>
      <xdr:colOff>54483</xdr:colOff>
      <xdr:row>110</xdr:row>
      <xdr:rowOff>161925</xdr:rowOff>
    </xdr:to>
    <xdr:sp macro="" textlink="">
      <xdr:nvSpPr>
        <xdr:cNvPr id="74597" name="111Graph"/>
        <xdr:cNvSpPr/>
      </xdr:nvSpPr>
      <xdr:spPr>
        <a:xfrm>
          <a:off x="15370175" y="27355800"/>
          <a:ext cx="48133" cy="762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224028</xdr:colOff>
      <xdr:row>110</xdr:row>
      <xdr:rowOff>161925</xdr:rowOff>
    </xdr:from>
    <xdr:to>
      <xdr:col>26</xdr:col>
      <xdr:colOff>272162</xdr:colOff>
      <xdr:row>110</xdr:row>
      <xdr:rowOff>200025</xdr:rowOff>
    </xdr:to>
    <xdr:sp macro="" textlink="">
      <xdr:nvSpPr>
        <xdr:cNvPr id="74598" name="111Results"/>
        <xdr:cNvSpPr/>
      </xdr:nvSpPr>
      <xdr:spPr>
        <a:xfrm>
          <a:off x="15206853" y="27432000"/>
          <a:ext cx="48134" cy="38100"/>
        </a:xfrm>
        <a:prstGeom prst="rect">
          <a:avLst/>
        </a:prstGeom>
        <a:solidFill>
          <a:srgbClr val="800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67183</xdr:colOff>
      <xdr:row>110</xdr:row>
      <xdr:rowOff>44450</xdr:rowOff>
    </xdr:from>
    <xdr:to>
      <xdr:col>28</xdr:col>
      <xdr:colOff>143383</xdr:colOff>
      <xdr:row>110</xdr:row>
      <xdr:rowOff>215900</xdr:rowOff>
    </xdr:to>
    <xdr:sp macro="" textlink="">
      <xdr:nvSpPr>
        <xdr:cNvPr id="74599" name="111EndPoint"/>
        <xdr:cNvSpPr txBox="1"/>
      </xdr:nvSpPr>
      <xdr:spPr>
        <a:xfrm>
          <a:off x="15431008" y="273145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12/25</a:t>
          </a:r>
          <a:endParaRPr kumimoji="1" lang="ja-JP" altLang="en-US" sz="1000">
            <a:solidFill>
              <a:srgbClr val="000000"/>
            </a:solidFill>
          </a:endParaRPr>
        </a:p>
      </xdr:txBody>
    </xdr:sp>
    <xdr:clientData/>
  </xdr:twoCellAnchor>
  <xdr:twoCellAnchor>
    <xdr:from>
      <xdr:col>27</xdr:col>
      <xdr:colOff>60833</xdr:colOff>
      <xdr:row>111</xdr:row>
      <xdr:rowOff>85725</xdr:rowOff>
    </xdr:from>
    <xdr:to>
      <xdr:col>27</xdr:col>
      <xdr:colOff>108967</xdr:colOff>
      <xdr:row>111</xdr:row>
      <xdr:rowOff>161925</xdr:rowOff>
    </xdr:to>
    <xdr:sp macro="" textlink="">
      <xdr:nvSpPr>
        <xdr:cNvPr id="74600" name="112Graph"/>
        <xdr:cNvSpPr/>
      </xdr:nvSpPr>
      <xdr:spPr>
        <a:xfrm>
          <a:off x="15424658" y="27603450"/>
          <a:ext cx="48134" cy="762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224028</xdr:colOff>
      <xdr:row>111</xdr:row>
      <xdr:rowOff>161925</xdr:rowOff>
    </xdr:from>
    <xdr:to>
      <xdr:col>26</xdr:col>
      <xdr:colOff>272162</xdr:colOff>
      <xdr:row>111</xdr:row>
      <xdr:rowOff>200025</xdr:rowOff>
    </xdr:to>
    <xdr:sp macro="" textlink="">
      <xdr:nvSpPr>
        <xdr:cNvPr id="74601" name="112Results"/>
        <xdr:cNvSpPr/>
      </xdr:nvSpPr>
      <xdr:spPr>
        <a:xfrm>
          <a:off x="15206853" y="27679650"/>
          <a:ext cx="48134" cy="38100"/>
        </a:xfrm>
        <a:prstGeom prst="rect">
          <a:avLst/>
        </a:prstGeom>
        <a:solidFill>
          <a:srgbClr val="800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121538</xdr:colOff>
      <xdr:row>111</xdr:row>
      <xdr:rowOff>44450</xdr:rowOff>
    </xdr:from>
    <xdr:to>
      <xdr:col>28</xdr:col>
      <xdr:colOff>197738</xdr:colOff>
      <xdr:row>111</xdr:row>
      <xdr:rowOff>215900</xdr:rowOff>
    </xdr:to>
    <xdr:sp macro="" textlink="">
      <xdr:nvSpPr>
        <xdr:cNvPr id="74602" name="112EndPoint"/>
        <xdr:cNvSpPr txBox="1"/>
      </xdr:nvSpPr>
      <xdr:spPr>
        <a:xfrm>
          <a:off x="15485363" y="275621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12/26</a:t>
          </a:r>
          <a:endParaRPr kumimoji="1" lang="ja-JP" altLang="en-US" sz="1000">
            <a:solidFill>
              <a:srgbClr val="000000"/>
            </a:solidFill>
          </a:endParaRPr>
        </a:p>
      </xdr:txBody>
    </xdr:sp>
    <xdr:clientData/>
  </xdr:twoCellAnchor>
  <xdr:twoCellAnchor>
    <xdr:from>
      <xdr:col>27</xdr:col>
      <xdr:colOff>60833</xdr:colOff>
      <xdr:row>112</xdr:row>
      <xdr:rowOff>85725</xdr:rowOff>
    </xdr:from>
    <xdr:to>
      <xdr:col>27</xdr:col>
      <xdr:colOff>108967</xdr:colOff>
      <xdr:row>112</xdr:row>
      <xdr:rowOff>161925</xdr:rowOff>
    </xdr:to>
    <xdr:sp macro="" textlink="">
      <xdr:nvSpPr>
        <xdr:cNvPr id="74603" name="113Graph"/>
        <xdr:cNvSpPr/>
      </xdr:nvSpPr>
      <xdr:spPr>
        <a:xfrm>
          <a:off x="15424658" y="27851100"/>
          <a:ext cx="48134" cy="762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224028</xdr:colOff>
      <xdr:row>112</xdr:row>
      <xdr:rowOff>161925</xdr:rowOff>
    </xdr:from>
    <xdr:to>
      <xdr:col>26</xdr:col>
      <xdr:colOff>272162</xdr:colOff>
      <xdr:row>112</xdr:row>
      <xdr:rowOff>200025</xdr:rowOff>
    </xdr:to>
    <xdr:sp macro="" textlink="">
      <xdr:nvSpPr>
        <xdr:cNvPr id="74604" name="113Results"/>
        <xdr:cNvSpPr/>
      </xdr:nvSpPr>
      <xdr:spPr>
        <a:xfrm>
          <a:off x="15206853" y="27927300"/>
          <a:ext cx="48134" cy="38100"/>
        </a:xfrm>
        <a:prstGeom prst="rect">
          <a:avLst/>
        </a:prstGeom>
        <a:solidFill>
          <a:srgbClr val="800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121538</xdr:colOff>
      <xdr:row>112</xdr:row>
      <xdr:rowOff>44450</xdr:rowOff>
    </xdr:from>
    <xdr:to>
      <xdr:col>28</xdr:col>
      <xdr:colOff>197738</xdr:colOff>
      <xdr:row>112</xdr:row>
      <xdr:rowOff>215900</xdr:rowOff>
    </xdr:to>
    <xdr:sp macro="" textlink="">
      <xdr:nvSpPr>
        <xdr:cNvPr id="74605" name="113EndPoint"/>
        <xdr:cNvSpPr txBox="1"/>
      </xdr:nvSpPr>
      <xdr:spPr>
        <a:xfrm>
          <a:off x="15485363" y="278098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12/26</a:t>
          </a:r>
          <a:endParaRPr kumimoji="1" lang="ja-JP" altLang="en-US" sz="1000">
            <a:solidFill>
              <a:srgbClr val="000000"/>
            </a:solidFill>
          </a:endParaRPr>
        </a:p>
      </xdr:txBody>
    </xdr:sp>
    <xdr:clientData/>
  </xdr:twoCellAnchor>
  <xdr:twoCellAnchor>
    <xdr:from>
      <xdr:col>27</xdr:col>
      <xdr:colOff>169672</xdr:colOff>
      <xdr:row>113</xdr:row>
      <xdr:rowOff>85725</xdr:rowOff>
    </xdr:from>
    <xdr:to>
      <xdr:col>29</xdr:col>
      <xdr:colOff>108838</xdr:colOff>
      <xdr:row>113</xdr:row>
      <xdr:rowOff>161925</xdr:rowOff>
    </xdr:to>
    <xdr:sp macro="" textlink="">
      <xdr:nvSpPr>
        <xdr:cNvPr id="74606" name="114Graph"/>
        <xdr:cNvSpPr/>
      </xdr:nvSpPr>
      <xdr:spPr>
        <a:xfrm>
          <a:off x="15533497" y="28098750"/>
          <a:ext cx="701166" cy="762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6350</xdr:colOff>
      <xdr:row>113</xdr:row>
      <xdr:rowOff>161925</xdr:rowOff>
    </xdr:from>
    <xdr:to>
      <xdr:col>27</xdr:col>
      <xdr:colOff>54483</xdr:colOff>
      <xdr:row>113</xdr:row>
      <xdr:rowOff>200025</xdr:rowOff>
    </xdr:to>
    <xdr:sp macro="" textlink="">
      <xdr:nvSpPr>
        <xdr:cNvPr id="74607" name="114Results"/>
        <xdr:cNvSpPr/>
      </xdr:nvSpPr>
      <xdr:spPr>
        <a:xfrm>
          <a:off x="15370175" y="28174950"/>
          <a:ext cx="48133" cy="38100"/>
        </a:xfrm>
        <a:prstGeom prst="rect">
          <a:avLst/>
        </a:prstGeom>
        <a:solidFill>
          <a:srgbClr val="800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121538</xdr:colOff>
      <xdr:row>113</xdr:row>
      <xdr:rowOff>44450</xdr:rowOff>
    </xdr:from>
    <xdr:to>
      <xdr:col>30</xdr:col>
      <xdr:colOff>197738</xdr:colOff>
      <xdr:row>113</xdr:row>
      <xdr:rowOff>215900</xdr:rowOff>
    </xdr:to>
    <xdr:sp macro="" textlink="">
      <xdr:nvSpPr>
        <xdr:cNvPr id="74608" name="114EndPoint"/>
        <xdr:cNvSpPr txBox="1"/>
      </xdr:nvSpPr>
      <xdr:spPr>
        <a:xfrm>
          <a:off x="16247363" y="280574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1/9</a:t>
          </a:r>
          <a:endParaRPr kumimoji="1" lang="ja-JP" altLang="en-US" sz="1000">
            <a:solidFill>
              <a:srgbClr val="000000"/>
            </a:solidFill>
          </a:endParaRPr>
        </a:p>
      </xdr:txBody>
    </xdr:sp>
    <xdr:clientData/>
  </xdr:twoCellAnchor>
  <xdr:twoCellAnchor>
    <xdr:from>
      <xdr:col>29</xdr:col>
      <xdr:colOff>60833</xdr:colOff>
      <xdr:row>114</xdr:row>
      <xdr:rowOff>85725</xdr:rowOff>
    </xdr:from>
    <xdr:to>
      <xdr:col>29</xdr:col>
      <xdr:colOff>163322</xdr:colOff>
      <xdr:row>114</xdr:row>
      <xdr:rowOff>161925</xdr:rowOff>
    </xdr:to>
    <xdr:sp macro="" textlink="">
      <xdr:nvSpPr>
        <xdr:cNvPr id="74609" name="115Graph"/>
        <xdr:cNvSpPr/>
      </xdr:nvSpPr>
      <xdr:spPr>
        <a:xfrm>
          <a:off x="16186658" y="28346400"/>
          <a:ext cx="102489" cy="762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6350</xdr:colOff>
      <xdr:row>114</xdr:row>
      <xdr:rowOff>161925</xdr:rowOff>
    </xdr:from>
    <xdr:to>
      <xdr:col>27</xdr:col>
      <xdr:colOff>54483</xdr:colOff>
      <xdr:row>114</xdr:row>
      <xdr:rowOff>200025</xdr:rowOff>
    </xdr:to>
    <xdr:sp macro="" textlink="">
      <xdr:nvSpPr>
        <xdr:cNvPr id="74610" name="115Results"/>
        <xdr:cNvSpPr/>
      </xdr:nvSpPr>
      <xdr:spPr>
        <a:xfrm>
          <a:off x="15370175" y="28422600"/>
          <a:ext cx="48133" cy="38100"/>
        </a:xfrm>
        <a:prstGeom prst="rect">
          <a:avLst/>
        </a:prstGeom>
        <a:solidFill>
          <a:srgbClr val="800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176022</xdr:colOff>
      <xdr:row>114</xdr:row>
      <xdr:rowOff>44450</xdr:rowOff>
    </xdr:from>
    <xdr:to>
      <xdr:col>30</xdr:col>
      <xdr:colOff>252222</xdr:colOff>
      <xdr:row>114</xdr:row>
      <xdr:rowOff>215900</xdr:rowOff>
    </xdr:to>
    <xdr:sp macro="" textlink="">
      <xdr:nvSpPr>
        <xdr:cNvPr id="74611" name="115EndPoint"/>
        <xdr:cNvSpPr txBox="1"/>
      </xdr:nvSpPr>
      <xdr:spPr>
        <a:xfrm>
          <a:off x="16301847" y="283051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1/10</a:t>
          </a:r>
          <a:endParaRPr kumimoji="1" lang="ja-JP" altLang="en-US" sz="1000">
            <a:solidFill>
              <a:srgbClr val="000000"/>
            </a:solidFill>
          </a:endParaRPr>
        </a:p>
      </xdr:txBody>
    </xdr:sp>
    <xdr:clientData/>
  </xdr:twoCellAnchor>
  <xdr:twoCellAnchor>
    <xdr:from>
      <xdr:col>29</xdr:col>
      <xdr:colOff>169672</xdr:colOff>
      <xdr:row>115</xdr:row>
      <xdr:rowOff>85725</xdr:rowOff>
    </xdr:from>
    <xdr:to>
      <xdr:col>29</xdr:col>
      <xdr:colOff>272160</xdr:colOff>
      <xdr:row>115</xdr:row>
      <xdr:rowOff>161925</xdr:rowOff>
    </xdr:to>
    <xdr:sp macro="" textlink="">
      <xdr:nvSpPr>
        <xdr:cNvPr id="74612" name="116Graph"/>
        <xdr:cNvSpPr/>
      </xdr:nvSpPr>
      <xdr:spPr>
        <a:xfrm>
          <a:off x="16295497" y="28594050"/>
          <a:ext cx="102488" cy="762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60833</xdr:colOff>
      <xdr:row>115</xdr:row>
      <xdr:rowOff>161925</xdr:rowOff>
    </xdr:from>
    <xdr:to>
      <xdr:col>27</xdr:col>
      <xdr:colOff>108967</xdr:colOff>
      <xdr:row>115</xdr:row>
      <xdr:rowOff>200025</xdr:rowOff>
    </xdr:to>
    <xdr:sp macro="" textlink="">
      <xdr:nvSpPr>
        <xdr:cNvPr id="74613" name="116Results"/>
        <xdr:cNvSpPr/>
      </xdr:nvSpPr>
      <xdr:spPr>
        <a:xfrm>
          <a:off x="15424658" y="28670250"/>
          <a:ext cx="48134" cy="38100"/>
        </a:xfrm>
        <a:prstGeom prst="rect">
          <a:avLst/>
        </a:prstGeom>
        <a:solidFill>
          <a:srgbClr val="800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284862</xdr:colOff>
      <xdr:row>115</xdr:row>
      <xdr:rowOff>44450</xdr:rowOff>
    </xdr:from>
    <xdr:to>
      <xdr:col>30</xdr:col>
      <xdr:colOff>361062</xdr:colOff>
      <xdr:row>115</xdr:row>
      <xdr:rowOff>215900</xdr:rowOff>
    </xdr:to>
    <xdr:sp macro="" textlink="">
      <xdr:nvSpPr>
        <xdr:cNvPr id="74614" name="116EndPoint"/>
        <xdr:cNvSpPr txBox="1"/>
      </xdr:nvSpPr>
      <xdr:spPr>
        <a:xfrm>
          <a:off x="16410687" y="285527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1/12</a:t>
          </a:r>
          <a:endParaRPr kumimoji="1" lang="ja-JP" altLang="en-US" sz="1000">
            <a:solidFill>
              <a:srgbClr val="000000"/>
            </a:solidFill>
          </a:endParaRPr>
        </a:p>
      </xdr:txBody>
    </xdr:sp>
    <xdr:clientData/>
  </xdr:twoCellAnchor>
  <xdr:twoCellAnchor>
    <xdr:from>
      <xdr:col>29</xdr:col>
      <xdr:colOff>278512</xdr:colOff>
      <xdr:row>116</xdr:row>
      <xdr:rowOff>0</xdr:rowOff>
    </xdr:from>
    <xdr:to>
      <xdr:col>30</xdr:col>
      <xdr:colOff>163323</xdr:colOff>
      <xdr:row>117</xdr:row>
      <xdr:rowOff>0</xdr:rowOff>
    </xdr:to>
    <xdr:sp macro="" textlink="">
      <xdr:nvSpPr>
        <xdr:cNvPr id="74615" name="117Graph"/>
        <xdr:cNvSpPr/>
      </xdr:nvSpPr>
      <xdr:spPr>
        <a:xfrm>
          <a:off x="16404337" y="28755975"/>
          <a:ext cx="265811" cy="247650"/>
        </a:xfrm>
        <a:prstGeom prst="rect">
          <a:avLst/>
        </a:prstGeom>
        <a:gradFill flip="none" rotWithShape="1">
          <a:gsLst>
            <a:gs pos="0">
              <a:srgbClr val="4C6680"/>
            </a:gs>
            <a:gs pos="50000">
              <a:srgbClr val="FFFFFF"/>
            </a:gs>
            <a:gs pos="100000">
              <a:srgbClr val="CCE6FF"/>
            </a:gs>
          </a:gsLst>
          <a:lin ang="5400000" scaled="1"/>
          <a:tileRect/>
        </a:gra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kumimoji="1" lang="ja-JP" altLang="en-US" sz="1000">
              <a:solidFill>
                <a:srgbClr val="000000"/>
              </a:solidFill>
            </a:rPr>
            <a:t>カット情報入力画面</a:t>
          </a:r>
          <a:r>
            <a:rPr kumimoji="1" lang="en-US" altLang="ja-JP" sz="1000">
              <a:solidFill>
                <a:srgbClr val="000000"/>
              </a:solidFill>
            </a:rPr>
            <a:t>(1/13</a:t>
          </a:r>
          <a:r>
            <a:rPr kumimoji="1" lang="ja-JP" altLang="en-US" sz="1000">
              <a:solidFill>
                <a:srgbClr val="000000"/>
              </a:solidFill>
            </a:rPr>
            <a:t>～</a:t>
          </a:r>
          <a:r>
            <a:rPr kumimoji="1" lang="en-US" altLang="ja-JP" sz="1000">
              <a:solidFill>
                <a:srgbClr val="000000"/>
              </a:solidFill>
            </a:rPr>
            <a:t>1/17)</a:t>
          </a:r>
          <a:endParaRPr kumimoji="1" lang="ja-JP" altLang="en-US" sz="1000">
            <a:solidFill>
              <a:srgbClr val="000000"/>
            </a:solidFill>
          </a:endParaRPr>
        </a:p>
      </xdr:txBody>
    </xdr:sp>
    <xdr:clientData/>
  </xdr:twoCellAnchor>
  <xdr:twoCellAnchor>
    <xdr:from>
      <xdr:col>29</xdr:col>
      <xdr:colOff>278512</xdr:colOff>
      <xdr:row>117</xdr:row>
      <xdr:rowOff>85725</xdr:rowOff>
    </xdr:from>
    <xdr:to>
      <xdr:col>30</xdr:col>
      <xdr:colOff>54483</xdr:colOff>
      <xdr:row>117</xdr:row>
      <xdr:rowOff>161925</xdr:rowOff>
    </xdr:to>
    <xdr:sp macro="" textlink="">
      <xdr:nvSpPr>
        <xdr:cNvPr id="74616" name="118Graph"/>
        <xdr:cNvSpPr/>
      </xdr:nvSpPr>
      <xdr:spPr>
        <a:xfrm>
          <a:off x="16404337" y="29089350"/>
          <a:ext cx="156971" cy="762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115188</xdr:colOff>
      <xdr:row>117</xdr:row>
      <xdr:rowOff>161925</xdr:rowOff>
    </xdr:from>
    <xdr:to>
      <xdr:col>27</xdr:col>
      <xdr:colOff>163322</xdr:colOff>
      <xdr:row>117</xdr:row>
      <xdr:rowOff>200025</xdr:rowOff>
    </xdr:to>
    <xdr:sp macro="" textlink="">
      <xdr:nvSpPr>
        <xdr:cNvPr id="74617" name="118Results"/>
        <xdr:cNvSpPr/>
      </xdr:nvSpPr>
      <xdr:spPr>
        <a:xfrm>
          <a:off x="15479013" y="29165550"/>
          <a:ext cx="48134" cy="38100"/>
        </a:xfrm>
        <a:prstGeom prst="rect">
          <a:avLst/>
        </a:prstGeom>
        <a:solidFill>
          <a:srgbClr val="800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67183</xdr:colOff>
      <xdr:row>117</xdr:row>
      <xdr:rowOff>44450</xdr:rowOff>
    </xdr:from>
    <xdr:to>
      <xdr:col>31</xdr:col>
      <xdr:colOff>143383</xdr:colOff>
      <xdr:row>117</xdr:row>
      <xdr:rowOff>215900</xdr:rowOff>
    </xdr:to>
    <xdr:sp macro="" textlink="">
      <xdr:nvSpPr>
        <xdr:cNvPr id="74618" name="118EndPoint"/>
        <xdr:cNvSpPr txBox="1"/>
      </xdr:nvSpPr>
      <xdr:spPr>
        <a:xfrm>
          <a:off x="16574008" y="290480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1/15</a:t>
          </a:r>
          <a:endParaRPr kumimoji="1" lang="ja-JP" altLang="en-US" sz="1000">
            <a:solidFill>
              <a:srgbClr val="000000"/>
            </a:solidFill>
          </a:endParaRPr>
        </a:p>
      </xdr:txBody>
    </xdr:sp>
    <xdr:clientData/>
  </xdr:twoCellAnchor>
  <xdr:twoCellAnchor>
    <xdr:from>
      <xdr:col>29</xdr:col>
      <xdr:colOff>278512</xdr:colOff>
      <xdr:row>118</xdr:row>
      <xdr:rowOff>85725</xdr:rowOff>
    </xdr:from>
    <xdr:to>
      <xdr:col>30</xdr:col>
      <xdr:colOff>54483</xdr:colOff>
      <xdr:row>118</xdr:row>
      <xdr:rowOff>161925</xdr:rowOff>
    </xdr:to>
    <xdr:sp macro="" textlink="">
      <xdr:nvSpPr>
        <xdr:cNvPr id="74619" name="119Graph"/>
        <xdr:cNvSpPr/>
      </xdr:nvSpPr>
      <xdr:spPr>
        <a:xfrm>
          <a:off x="16404337" y="29337000"/>
          <a:ext cx="156971" cy="762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115188</xdr:colOff>
      <xdr:row>118</xdr:row>
      <xdr:rowOff>161925</xdr:rowOff>
    </xdr:from>
    <xdr:to>
      <xdr:col>27</xdr:col>
      <xdr:colOff>163322</xdr:colOff>
      <xdr:row>118</xdr:row>
      <xdr:rowOff>200025</xdr:rowOff>
    </xdr:to>
    <xdr:sp macro="" textlink="">
      <xdr:nvSpPr>
        <xdr:cNvPr id="74620" name="119Results"/>
        <xdr:cNvSpPr/>
      </xdr:nvSpPr>
      <xdr:spPr>
        <a:xfrm>
          <a:off x="15479013" y="29413200"/>
          <a:ext cx="48134" cy="38100"/>
        </a:xfrm>
        <a:prstGeom prst="rect">
          <a:avLst/>
        </a:prstGeom>
        <a:solidFill>
          <a:srgbClr val="800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67183</xdr:colOff>
      <xdr:row>118</xdr:row>
      <xdr:rowOff>44450</xdr:rowOff>
    </xdr:from>
    <xdr:to>
      <xdr:col>31</xdr:col>
      <xdr:colOff>143383</xdr:colOff>
      <xdr:row>118</xdr:row>
      <xdr:rowOff>215900</xdr:rowOff>
    </xdr:to>
    <xdr:sp macro="" textlink="">
      <xdr:nvSpPr>
        <xdr:cNvPr id="74621" name="119EndPoint"/>
        <xdr:cNvSpPr txBox="1"/>
      </xdr:nvSpPr>
      <xdr:spPr>
        <a:xfrm>
          <a:off x="16574008" y="292957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1/15</a:t>
          </a:r>
          <a:endParaRPr kumimoji="1" lang="ja-JP" altLang="en-US" sz="1000">
            <a:solidFill>
              <a:srgbClr val="000000"/>
            </a:solidFill>
          </a:endParaRPr>
        </a:p>
      </xdr:txBody>
    </xdr:sp>
    <xdr:clientData/>
  </xdr:twoCellAnchor>
  <xdr:twoCellAnchor>
    <xdr:from>
      <xdr:col>30</xdr:col>
      <xdr:colOff>6350</xdr:colOff>
      <xdr:row>119</xdr:row>
      <xdr:rowOff>85725</xdr:rowOff>
    </xdr:from>
    <xdr:to>
      <xdr:col>30</xdr:col>
      <xdr:colOff>54483</xdr:colOff>
      <xdr:row>119</xdr:row>
      <xdr:rowOff>161925</xdr:rowOff>
    </xdr:to>
    <xdr:sp macro="" textlink="">
      <xdr:nvSpPr>
        <xdr:cNvPr id="74622" name="120Graph"/>
        <xdr:cNvSpPr/>
      </xdr:nvSpPr>
      <xdr:spPr>
        <a:xfrm>
          <a:off x="16513175" y="29584650"/>
          <a:ext cx="48133" cy="762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115188</xdr:colOff>
      <xdr:row>119</xdr:row>
      <xdr:rowOff>161925</xdr:rowOff>
    </xdr:from>
    <xdr:to>
      <xdr:col>27</xdr:col>
      <xdr:colOff>163322</xdr:colOff>
      <xdr:row>119</xdr:row>
      <xdr:rowOff>200025</xdr:rowOff>
    </xdr:to>
    <xdr:sp macro="" textlink="">
      <xdr:nvSpPr>
        <xdr:cNvPr id="74623" name="120Results"/>
        <xdr:cNvSpPr/>
      </xdr:nvSpPr>
      <xdr:spPr>
        <a:xfrm>
          <a:off x="15479013" y="29660850"/>
          <a:ext cx="48134" cy="38100"/>
        </a:xfrm>
        <a:prstGeom prst="rect">
          <a:avLst/>
        </a:prstGeom>
        <a:solidFill>
          <a:srgbClr val="800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67183</xdr:colOff>
      <xdr:row>119</xdr:row>
      <xdr:rowOff>44450</xdr:rowOff>
    </xdr:from>
    <xdr:to>
      <xdr:col>31</xdr:col>
      <xdr:colOff>143383</xdr:colOff>
      <xdr:row>119</xdr:row>
      <xdr:rowOff>215900</xdr:rowOff>
    </xdr:to>
    <xdr:sp macro="" textlink="">
      <xdr:nvSpPr>
        <xdr:cNvPr id="74624" name="120EndPoint"/>
        <xdr:cNvSpPr txBox="1"/>
      </xdr:nvSpPr>
      <xdr:spPr>
        <a:xfrm>
          <a:off x="16574008" y="295433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1/15</a:t>
          </a:r>
          <a:endParaRPr kumimoji="1" lang="ja-JP" altLang="en-US" sz="1000">
            <a:solidFill>
              <a:srgbClr val="000000"/>
            </a:solidFill>
          </a:endParaRPr>
        </a:p>
      </xdr:txBody>
    </xdr:sp>
    <xdr:clientData/>
  </xdr:twoCellAnchor>
  <xdr:twoCellAnchor>
    <xdr:from>
      <xdr:col>31</xdr:col>
      <xdr:colOff>3175</xdr:colOff>
      <xdr:row>118</xdr:row>
      <xdr:rowOff>79277</xdr:rowOff>
    </xdr:from>
    <xdr:to>
      <xdr:col>33</xdr:col>
      <xdr:colOff>223110</xdr:colOff>
      <xdr:row>118</xdr:row>
      <xdr:rowOff>238027</xdr:rowOff>
    </xdr:to>
    <xdr:sp macro="" textlink="">
      <xdr:nvSpPr>
        <xdr:cNvPr id="74625" name="120Comment"/>
        <xdr:cNvSpPr txBox="1"/>
      </xdr:nvSpPr>
      <xdr:spPr>
        <a:xfrm>
          <a:off x="16891000" y="29330552"/>
          <a:ext cx="981935" cy="158750"/>
        </a:xfrm>
        <a:prstGeom prst="rect">
          <a:avLst/>
        </a:prstGeom>
        <a:solidFill>
          <a:schemeClr val="lt1">
            <a:alpha val="10000"/>
          </a:scheme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spAutoFit/>
        </a:bodyPr>
        <a:lstStyle/>
        <a:p>
          <a:pPr algn="l"/>
          <a:r>
            <a:rPr kumimoji="1" lang="ja-JP" altLang="en-US" sz="900" b="0" i="0" u="none">
              <a:latin typeface="Meiryo UI"/>
            </a:rPr>
            <a:t>画面要件シート・
入出力定義書シート
</a:t>
          </a:r>
        </a:p>
      </xdr:txBody>
    </xdr:sp>
    <xdr:clientData/>
  </xdr:twoCellAnchor>
  <xdr:twoCellAnchor>
    <xdr:from>
      <xdr:col>30</xdr:col>
      <xdr:colOff>6350</xdr:colOff>
      <xdr:row>120</xdr:row>
      <xdr:rowOff>85725</xdr:rowOff>
    </xdr:from>
    <xdr:to>
      <xdr:col>30</xdr:col>
      <xdr:colOff>54483</xdr:colOff>
      <xdr:row>120</xdr:row>
      <xdr:rowOff>161925</xdr:rowOff>
    </xdr:to>
    <xdr:sp macro="" textlink="">
      <xdr:nvSpPr>
        <xdr:cNvPr id="74626" name="121Graph"/>
        <xdr:cNvSpPr/>
      </xdr:nvSpPr>
      <xdr:spPr>
        <a:xfrm>
          <a:off x="16513175" y="29832300"/>
          <a:ext cx="48133" cy="762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115188</xdr:colOff>
      <xdr:row>120</xdr:row>
      <xdr:rowOff>161925</xdr:rowOff>
    </xdr:from>
    <xdr:to>
      <xdr:col>27</xdr:col>
      <xdr:colOff>163322</xdr:colOff>
      <xdr:row>120</xdr:row>
      <xdr:rowOff>200025</xdr:rowOff>
    </xdr:to>
    <xdr:sp macro="" textlink="">
      <xdr:nvSpPr>
        <xdr:cNvPr id="74627" name="121Results"/>
        <xdr:cNvSpPr/>
      </xdr:nvSpPr>
      <xdr:spPr>
        <a:xfrm>
          <a:off x="15479013" y="29908500"/>
          <a:ext cx="48134" cy="38100"/>
        </a:xfrm>
        <a:prstGeom prst="rect">
          <a:avLst/>
        </a:prstGeom>
        <a:solidFill>
          <a:srgbClr val="800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67183</xdr:colOff>
      <xdr:row>120</xdr:row>
      <xdr:rowOff>44450</xdr:rowOff>
    </xdr:from>
    <xdr:to>
      <xdr:col>31</xdr:col>
      <xdr:colOff>143383</xdr:colOff>
      <xdr:row>120</xdr:row>
      <xdr:rowOff>215900</xdr:rowOff>
    </xdr:to>
    <xdr:sp macro="" textlink="">
      <xdr:nvSpPr>
        <xdr:cNvPr id="74628" name="121EndPoint"/>
        <xdr:cNvSpPr txBox="1"/>
      </xdr:nvSpPr>
      <xdr:spPr>
        <a:xfrm>
          <a:off x="16574008" y="297910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1/15</a:t>
          </a:r>
          <a:endParaRPr kumimoji="1" lang="ja-JP" altLang="en-US" sz="1000">
            <a:solidFill>
              <a:srgbClr val="000000"/>
            </a:solidFill>
          </a:endParaRPr>
        </a:p>
      </xdr:txBody>
    </xdr:sp>
    <xdr:clientData/>
  </xdr:twoCellAnchor>
  <xdr:twoCellAnchor>
    <xdr:from>
      <xdr:col>31</xdr:col>
      <xdr:colOff>3175</xdr:colOff>
      <xdr:row>119</xdr:row>
      <xdr:rowOff>79277</xdr:rowOff>
    </xdr:from>
    <xdr:to>
      <xdr:col>33</xdr:col>
      <xdr:colOff>223110</xdr:colOff>
      <xdr:row>119</xdr:row>
      <xdr:rowOff>238027</xdr:rowOff>
    </xdr:to>
    <xdr:sp macro="" textlink="">
      <xdr:nvSpPr>
        <xdr:cNvPr id="74629" name="121Comment"/>
        <xdr:cNvSpPr txBox="1"/>
      </xdr:nvSpPr>
      <xdr:spPr>
        <a:xfrm>
          <a:off x="16891000" y="29578202"/>
          <a:ext cx="981935" cy="158750"/>
        </a:xfrm>
        <a:prstGeom prst="rect">
          <a:avLst/>
        </a:prstGeom>
        <a:solidFill>
          <a:schemeClr val="lt1">
            <a:alpha val="10000"/>
          </a:scheme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spAutoFit/>
        </a:bodyPr>
        <a:lstStyle/>
        <a:p>
          <a:pPr algn="l"/>
          <a:r>
            <a:rPr kumimoji="1" lang="ja-JP" altLang="en-US" sz="900" b="0" i="0" u="none">
              <a:latin typeface="Meiryo UI"/>
            </a:rPr>
            <a:t>画面要件シート・
入出力定義書シート
</a:t>
          </a:r>
        </a:p>
      </xdr:txBody>
    </xdr:sp>
    <xdr:clientData/>
  </xdr:twoCellAnchor>
  <xdr:twoCellAnchor>
    <xdr:from>
      <xdr:col>30</xdr:col>
      <xdr:colOff>6350</xdr:colOff>
      <xdr:row>121</xdr:row>
      <xdr:rowOff>85725</xdr:rowOff>
    </xdr:from>
    <xdr:to>
      <xdr:col>30</xdr:col>
      <xdr:colOff>54483</xdr:colOff>
      <xdr:row>121</xdr:row>
      <xdr:rowOff>161925</xdr:rowOff>
    </xdr:to>
    <xdr:sp macro="" textlink="">
      <xdr:nvSpPr>
        <xdr:cNvPr id="74630" name="122Graph"/>
        <xdr:cNvSpPr/>
      </xdr:nvSpPr>
      <xdr:spPr>
        <a:xfrm>
          <a:off x="16513175" y="30079950"/>
          <a:ext cx="48133" cy="762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115188</xdr:colOff>
      <xdr:row>121</xdr:row>
      <xdr:rowOff>161925</xdr:rowOff>
    </xdr:from>
    <xdr:to>
      <xdr:col>27</xdr:col>
      <xdr:colOff>163322</xdr:colOff>
      <xdr:row>121</xdr:row>
      <xdr:rowOff>200025</xdr:rowOff>
    </xdr:to>
    <xdr:sp macro="" textlink="">
      <xdr:nvSpPr>
        <xdr:cNvPr id="74631" name="122Results"/>
        <xdr:cNvSpPr/>
      </xdr:nvSpPr>
      <xdr:spPr>
        <a:xfrm>
          <a:off x="15479013" y="30156150"/>
          <a:ext cx="48134" cy="38100"/>
        </a:xfrm>
        <a:prstGeom prst="rect">
          <a:avLst/>
        </a:prstGeom>
        <a:solidFill>
          <a:srgbClr val="800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67183</xdr:colOff>
      <xdr:row>121</xdr:row>
      <xdr:rowOff>44450</xdr:rowOff>
    </xdr:from>
    <xdr:to>
      <xdr:col>31</xdr:col>
      <xdr:colOff>143383</xdr:colOff>
      <xdr:row>121</xdr:row>
      <xdr:rowOff>215900</xdr:rowOff>
    </xdr:to>
    <xdr:sp macro="" textlink="">
      <xdr:nvSpPr>
        <xdr:cNvPr id="74632" name="122EndPoint"/>
        <xdr:cNvSpPr txBox="1"/>
      </xdr:nvSpPr>
      <xdr:spPr>
        <a:xfrm>
          <a:off x="16574008" y="300386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1/15</a:t>
          </a:r>
          <a:endParaRPr kumimoji="1" lang="ja-JP" altLang="en-US" sz="1000">
            <a:solidFill>
              <a:srgbClr val="000000"/>
            </a:solidFill>
          </a:endParaRPr>
        </a:p>
      </xdr:txBody>
    </xdr:sp>
    <xdr:clientData/>
  </xdr:twoCellAnchor>
  <xdr:twoCellAnchor>
    <xdr:from>
      <xdr:col>30</xdr:col>
      <xdr:colOff>6350</xdr:colOff>
      <xdr:row>122</xdr:row>
      <xdr:rowOff>85725</xdr:rowOff>
    </xdr:from>
    <xdr:to>
      <xdr:col>30</xdr:col>
      <xdr:colOff>54483</xdr:colOff>
      <xdr:row>122</xdr:row>
      <xdr:rowOff>161925</xdr:rowOff>
    </xdr:to>
    <xdr:sp macro="" textlink="">
      <xdr:nvSpPr>
        <xdr:cNvPr id="74633" name="123Graph"/>
        <xdr:cNvSpPr/>
      </xdr:nvSpPr>
      <xdr:spPr>
        <a:xfrm>
          <a:off x="16513175" y="30327600"/>
          <a:ext cx="48133" cy="762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115188</xdr:colOff>
      <xdr:row>122</xdr:row>
      <xdr:rowOff>161925</xdr:rowOff>
    </xdr:from>
    <xdr:to>
      <xdr:col>27</xdr:col>
      <xdr:colOff>163322</xdr:colOff>
      <xdr:row>122</xdr:row>
      <xdr:rowOff>200025</xdr:rowOff>
    </xdr:to>
    <xdr:sp macro="" textlink="">
      <xdr:nvSpPr>
        <xdr:cNvPr id="74634" name="123Results"/>
        <xdr:cNvSpPr/>
      </xdr:nvSpPr>
      <xdr:spPr>
        <a:xfrm>
          <a:off x="15479013" y="30403800"/>
          <a:ext cx="48134" cy="38100"/>
        </a:xfrm>
        <a:prstGeom prst="rect">
          <a:avLst/>
        </a:prstGeom>
        <a:solidFill>
          <a:srgbClr val="800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67183</xdr:colOff>
      <xdr:row>122</xdr:row>
      <xdr:rowOff>44450</xdr:rowOff>
    </xdr:from>
    <xdr:to>
      <xdr:col>31</xdr:col>
      <xdr:colOff>143383</xdr:colOff>
      <xdr:row>122</xdr:row>
      <xdr:rowOff>215900</xdr:rowOff>
    </xdr:to>
    <xdr:sp macro="" textlink="">
      <xdr:nvSpPr>
        <xdr:cNvPr id="74635" name="123EndPoint"/>
        <xdr:cNvSpPr txBox="1"/>
      </xdr:nvSpPr>
      <xdr:spPr>
        <a:xfrm>
          <a:off x="16574008" y="302863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1/15</a:t>
          </a:r>
          <a:endParaRPr kumimoji="1" lang="ja-JP" altLang="en-US" sz="1000">
            <a:solidFill>
              <a:srgbClr val="000000"/>
            </a:solidFill>
          </a:endParaRPr>
        </a:p>
      </xdr:txBody>
    </xdr:sp>
    <xdr:clientData/>
  </xdr:twoCellAnchor>
  <xdr:twoCellAnchor>
    <xdr:from>
      <xdr:col>30</xdr:col>
      <xdr:colOff>6350</xdr:colOff>
      <xdr:row>123</xdr:row>
      <xdr:rowOff>85725</xdr:rowOff>
    </xdr:from>
    <xdr:to>
      <xdr:col>30</xdr:col>
      <xdr:colOff>54483</xdr:colOff>
      <xdr:row>123</xdr:row>
      <xdr:rowOff>161925</xdr:rowOff>
    </xdr:to>
    <xdr:sp macro="" textlink="">
      <xdr:nvSpPr>
        <xdr:cNvPr id="74636" name="124Graph"/>
        <xdr:cNvSpPr/>
      </xdr:nvSpPr>
      <xdr:spPr>
        <a:xfrm>
          <a:off x="16513175" y="30575250"/>
          <a:ext cx="48133" cy="762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115188</xdr:colOff>
      <xdr:row>123</xdr:row>
      <xdr:rowOff>161925</xdr:rowOff>
    </xdr:from>
    <xdr:to>
      <xdr:col>27</xdr:col>
      <xdr:colOff>163322</xdr:colOff>
      <xdr:row>123</xdr:row>
      <xdr:rowOff>200025</xdr:rowOff>
    </xdr:to>
    <xdr:sp macro="" textlink="">
      <xdr:nvSpPr>
        <xdr:cNvPr id="74637" name="124Results"/>
        <xdr:cNvSpPr/>
      </xdr:nvSpPr>
      <xdr:spPr>
        <a:xfrm>
          <a:off x="15479013" y="30651450"/>
          <a:ext cx="48134" cy="38100"/>
        </a:xfrm>
        <a:prstGeom prst="rect">
          <a:avLst/>
        </a:prstGeom>
        <a:solidFill>
          <a:srgbClr val="800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67183</xdr:colOff>
      <xdr:row>123</xdr:row>
      <xdr:rowOff>44450</xdr:rowOff>
    </xdr:from>
    <xdr:to>
      <xdr:col>31</xdr:col>
      <xdr:colOff>143383</xdr:colOff>
      <xdr:row>123</xdr:row>
      <xdr:rowOff>215900</xdr:rowOff>
    </xdr:to>
    <xdr:sp macro="" textlink="">
      <xdr:nvSpPr>
        <xdr:cNvPr id="74638" name="124EndPoint"/>
        <xdr:cNvSpPr txBox="1"/>
      </xdr:nvSpPr>
      <xdr:spPr>
        <a:xfrm>
          <a:off x="16574008" y="305339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1/15</a:t>
          </a:r>
          <a:endParaRPr kumimoji="1" lang="ja-JP" altLang="en-US" sz="1000">
            <a:solidFill>
              <a:srgbClr val="000000"/>
            </a:solidFill>
          </a:endParaRPr>
        </a:p>
      </xdr:txBody>
    </xdr:sp>
    <xdr:clientData/>
  </xdr:twoCellAnchor>
  <xdr:twoCellAnchor>
    <xdr:from>
      <xdr:col>30</xdr:col>
      <xdr:colOff>60833</xdr:colOff>
      <xdr:row>124</xdr:row>
      <xdr:rowOff>85725</xdr:rowOff>
    </xdr:from>
    <xdr:to>
      <xdr:col>30</xdr:col>
      <xdr:colOff>108967</xdr:colOff>
      <xdr:row>124</xdr:row>
      <xdr:rowOff>161925</xdr:rowOff>
    </xdr:to>
    <xdr:sp macro="" textlink="">
      <xdr:nvSpPr>
        <xdr:cNvPr id="74639" name="125Graph"/>
        <xdr:cNvSpPr/>
      </xdr:nvSpPr>
      <xdr:spPr>
        <a:xfrm>
          <a:off x="16567658" y="30822900"/>
          <a:ext cx="48134" cy="762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169672</xdr:colOff>
      <xdr:row>124</xdr:row>
      <xdr:rowOff>161925</xdr:rowOff>
    </xdr:from>
    <xdr:to>
      <xdr:col>27</xdr:col>
      <xdr:colOff>217805</xdr:colOff>
      <xdr:row>124</xdr:row>
      <xdr:rowOff>200025</xdr:rowOff>
    </xdr:to>
    <xdr:sp macro="" textlink="">
      <xdr:nvSpPr>
        <xdr:cNvPr id="74640" name="125Results"/>
        <xdr:cNvSpPr/>
      </xdr:nvSpPr>
      <xdr:spPr>
        <a:xfrm>
          <a:off x="15533497" y="30899100"/>
          <a:ext cx="48133" cy="38100"/>
        </a:xfrm>
        <a:prstGeom prst="rect">
          <a:avLst/>
        </a:prstGeom>
        <a:solidFill>
          <a:srgbClr val="800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121538</xdr:colOff>
      <xdr:row>124</xdr:row>
      <xdr:rowOff>44450</xdr:rowOff>
    </xdr:from>
    <xdr:to>
      <xdr:col>31</xdr:col>
      <xdr:colOff>197738</xdr:colOff>
      <xdr:row>124</xdr:row>
      <xdr:rowOff>215900</xdr:rowOff>
    </xdr:to>
    <xdr:sp macro="" textlink="">
      <xdr:nvSpPr>
        <xdr:cNvPr id="74641" name="125EndPoint"/>
        <xdr:cNvSpPr txBox="1"/>
      </xdr:nvSpPr>
      <xdr:spPr>
        <a:xfrm>
          <a:off x="16628363" y="307816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1/16</a:t>
          </a:r>
          <a:endParaRPr kumimoji="1" lang="ja-JP" altLang="en-US" sz="1000">
            <a:solidFill>
              <a:srgbClr val="000000"/>
            </a:solidFill>
          </a:endParaRPr>
        </a:p>
      </xdr:txBody>
    </xdr:sp>
    <xdr:clientData/>
  </xdr:twoCellAnchor>
  <xdr:twoCellAnchor>
    <xdr:from>
      <xdr:col>30</xdr:col>
      <xdr:colOff>60833</xdr:colOff>
      <xdr:row>125</xdr:row>
      <xdr:rowOff>85725</xdr:rowOff>
    </xdr:from>
    <xdr:to>
      <xdr:col>30</xdr:col>
      <xdr:colOff>108967</xdr:colOff>
      <xdr:row>125</xdr:row>
      <xdr:rowOff>161925</xdr:rowOff>
    </xdr:to>
    <xdr:sp macro="" textlink="">
      <xdr:nvSpPr>
        <xdr:cNvPr id="74642" name="126Graph"/>
        <xdr:cNvSpPr/>
      </xdr:nvSpPr>
      <xdr:spPr>
        <a:xfrm>
          <a:off x="16567658" y="31070550"/>
          <a:ext cx="48134" cy="762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169672</xdr:colOff>
      <xdr:row>125</xdr:row>
      <xdr:rowOff>161925</xdr:rowOff>
    </xdr:from>
    <xdr:to>
      <xdr:col>27</xdr:col>
      <xdr:colOff>217805</xdr:colOff>
      <xdr:row>125</xdr:row>
      <xdr:rowOff>200025</xdr:rowOff>
    </xdr:to>
    <xdr:sp macro="" textlink="">
      <xdr:nvSpPr>
        <xdr:cNvPr id="74643" name="126Results"/>
        <xdr:cNvSpPr/>
      </xdr:nvSpPr>
      <xdr:spPr>
        <a:xfrm>
          <a:off x="15533497" y="31146750"/>
          <a:ext cx="48133" cy="38100"/>
        </a:xfrm>
        <a:prstGeom prst="rect">
          <a:avLst/>
        </a:prstGeom>
        <a:solidFill>
          <a:srgbClr val="800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121538</xdr:colOff>
      <xdr:row>125</xdr:row>
      <xdr:rowOff>44450</xdr:rowOff>
    </xdr:from>
    <xdr:to>
      <xdr:col>31</xdr:col>
      <xdr:colOff>197738</xdr:colOff>
      <xdr:row>125</xdr:row>
      <xdr:rowOff>215900</xdr:rowOff>
    </xdr:to>
    <xdr:sp macro="" textlink="">
      <xdr:nvSpPr>
        <xdr:cNvPr id="74644" name="126EndPoint"/>
        <xdr:cNvSpPr txBox="1"/>
      </xdr:nvSpPr>
      <xdr:spPr>
        <a:xfrm>
          <a:off x="16628363" y="310292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1/16</a:t>
          </a:r>
          <a:endParaRPr kumimoji="1" lang="ja-JP" altLang="en-US" sz="1000">
            <a:solidFill>
              <a:srgbClr val="000000"/>
            </a:solidFill>
          </a:endParaRPr>
        </a:p>
      </xdr:txBody>
    </xdr:sp>
    <xdr:clientData/>
  </xdr:twoCellAnchor>
  <xdr:twoCellAnchor>
    <xdr:from>
      <xdr:col>30</xdr:col>
      <xdr:colOff>115188</xdr:colOff>
      <xdr:row>126</xdr:row>
      <xdr:rowOff>85725</xdr:rowOff>
    </xdr:from>
    <xdr:to>
      <xdr:col>30</xdr:col>
      <xdr:colOff>163322</xdr:colOff>
      <xdr:row>126</xdr:row>
      <xdr:rowOff>161925</xdr:rowOff>
    </xdr:to>
    <xdr:sp macro="" textlink="">
      <xdr:nvSpPr>
        <xdr:cNvPr id="74645" name="127Graph"/>
        <xdr:cNvSpPr/>
      </xdr:nvSpPr>
      <xdr:spPr>
        <a:xfrm>
          <a:off x="16622013" y="31318200"/>
          <a:ext cx="48134" cy="762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60833</xdr:colOff>
      <xdr:row>126</xdr:row>
      <xdr:rowOff>161925</xdr:rowOff>
    </xdr:from>
    <xdr:to>
      <xdr:col>29</xdr:col>
      <xdr:colOff>108967</xdr:colOff>
      <xdr:row>126</xdr:row>
      <xdr:rowOff>200025</xdr:rowOff>
    </xdr:to>
    <xdr:sp macro="" textlink="">
      <xdr:nvSpPr>
        <xdr:cNvPr id="74646" name="127Results"/>
        <xdr:cNvSpPr/>
      </xdr:nvSpPr>
      <xdr:spPr>
        <a:xfrm>
          <a:off x="16186658" y="31394400"/>
          <a:ext cx="48134" cy="38100"/>
        </a:xfrm>
        <a:prstGeom prst="rect">
          <a:avLst/>
        </a:prstGeom>
        <a:solidFill>
          <a:srgbClr val="800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176022</xdr:colOff>
      <xdr:row>126</xdr:row>
      <xdr:rowOff>44450</xdr:rowOff>
    </xdr:from>
    <xdr:to>
      <xdr:col>31</xdr:col>
      <xdr:colOff>252222</xdr:colOff>
      <xdr:row>126</xdr:row>
      <xdr:rowOff>215900</xdr:rowOff>
    </xdr:to>
    <xdr:sp macro="" textlink="">
      <xdr:nvSpPr>
        <xdr:cNvPr id="74647" name="127EndPoint"/>
        <xdr:cNvSpPr txBox="1"/>
      </xdr:nvSpPr>
      <xdr:spPr>
        <a:xfrm>
          <a:off x="16682847" y="312769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1/17</a:t>
          </a:r>
          <a:endParaRPr kumimoji="1" lang="ja-JP" altLang="en-US" sz="1000">
            <a:solidFill>
              <a:srgbClr val="000000"/>
            </a:solidFill>
          </a:endParaRPr>
        </a:p>
      </xdr:txBody>
    </xdr:sp>
    <xdr:clientData/>
  </xdr:twoCellAnchor>
  <xdr:twoCellAnchor>
    <xdr:from>
      <xdr:col>26</xdr:col>
      <xdr:colOff>60833</xdr:colOff>
      <xdr:row>127</xdr:row>
      <xdr:rowOff>0</xdr:rowOff>
    </xdr:from>
    <xdr:to>
      <xdr:col>31</xdr:col>
      <xdr:colOff>108967</xdr:colOff>
      <xdr:row>128</xdr:row>
      <xdr:rowOff>0</xdr:rowOff>
    </xdr:to>
    <xdr:sp macro="" textlink="">
      <xdr:nvSpPr>
        <xdr:cNvPr id="74648" name="128Graph"/>
        <xdr:cNvSpPr/>
      </xdr:nvSpPr>
      <xdr:spPr>
        <a:xfrm>
          <a:off x="15043658" y="31480125"/>
          <a:ext cx="1953134" cy="247650"/>
        </a:xfrm>
        <a:prstGeom prst="rect">
          <a:avLst/>
        </a:prstGeom>
        <a:gradFill flip="none" rotWithShape="1">
          <a:gsLst>
            <a:gs pos="0">
              <a:srgbClr val="4C6680"/>
            </a:gs>
            <a:gs pos="50000">
              <a:srgbClr val="FFFFFF"/>
            </a:gs>
            <a:gs pos="100000">
              <a:srgbClr val="CCE6FF"/>
            </a:gs>
          </a:gsLst>
          <a:lin ang="5400000" scaled="1"/>
          <a:tileRect/>
        </a:gra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kumimoji="1" lang="ja-JP" altLang="en-US" sz="1000">
              <a:solidFill>
                <a:srgbClr val="000000"/>
              </a:solidFill>
            </a:rPr>
            <a:t>品目マスタ登録画面</a:t>
          </a:r>
          <a:r>
            <a:rPr kumimoji="1" lang="en-US" altLang="ja-JP" sz="1000">
              <a:solidFill>
                <a:srgbClr val="000000"/>
              </a:solidFill>
            </a:rPr>
            <a:t>(12/19</a:t>
          </a:r>
          <a:r>
            <a:rPr kumimoji="1" lang="ja-JP" altLang="en-US" sz="1000">
              <a:solidFill>
                <a:srgbClr val="000000"/>
              </a:solidFill>
            </a:rPr>
            <a:t>～</a:t>
          </a:r>
          <a:r>
            <a:rPr kumimoji="1" lang="en-US" altLang="ja-JP" sz="1000">
              <a:solidFill>
                <a:srgbClr val="000000"/>
              </a:solidFill>
            </a:rPr>
            <a:t>1/23)</a:t>
          </a:r>
          <a:endParaRPr kumimoji="1" lang="ja-JP" altLang="en-US" sz="1000">
            <a:solidFill>
              <a:srgbClr val="000000"/>
            </a:solidFill>
          </a:endParaRPr>
        </a:p>
      </xdr:txBody>
    </xdr:sp>
    <xdr:clientData/>
  </xdr:twoCellAnchor>
  <xdr:twoCellAnchor>
    <xdr:from>
      <xdr:col>26</xdr:col>
      <xdr:colOff>60833</xdr:colOff>
      <xdr:row>128</xdr:row>
      <xdr:rowOff>85725</xdr:rowOff>
    </xdr:from>
    <xdr:to>
      <xdr:col>26</xdr:col>
      <xdr:colOff>108967</xdr:colOff>
      <xdr:row>128</xdr:row>
      <xdr:rowOff>161925</xdr:rowOff>
    </xdr:to>
    <xdr:sp macro="" textlink="">
      <xdr:nvSpPr>
        <xdr:cNvPr id="74649" name="129Graph"/>
        <xdr:cNvSpPr/>
      </xdr:nvSpPr>
      <xdr:spPr>
        <a:xfrm>
          <a:off x="15043658" y="31813500"/>
          <a:ext cx="48134" cy="76200"/>
        </a:xfrm>
        <a:prstGeom prst="rect">
          <a:avLst/>
        </a:prstGeom>
        <a:pattFill prst="ltUpDiag">
          <a:fgClr>
            <a:srgbClr val="400040"/>
          </a:fgClr>
          <a:bgClr>
            <a:srgbClr val="C08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60833</xdr:colOff>
      <xdr:row>128</xdr:row>
      <xdr:rowOff>161925</xdr:rowOff>
    </xdr:from>
    <xdr:to>
      <xdr:col>26</xdr:col>
      <xdr:colOff>108967</xdr:colOff>
      <xdr:row>128</xdr:row>
      <xdr:rowOff>200025</xdr:rowOff>
    </xdr:to>
    <xdr:sp macro="" textlink="">
      <xdr:nvSpPr>
        <xdr:cNvPr id="74650" name="129Results"/>
        <xdr:cNvSpPr/>
      </xdr:nvSpPr>
      <xdr:spPr>
        <a:xfrm>
          <a:off x="15043658" y="31889700"/>
          <a:ext cx="48134" cy="38100"/>
        </a:xfrm>
        <a:prstGeom prst="rect">
          <a:avLst/>
        </a:prstGeom>
        <a:solidFill>
          <a:srgbClr val="40004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121538</xdr:colOff>
      <xdr:row>128</xdr:row>
      <xdr:rowOff>44450</xdr:rowOff>
    </xdr:from>
    <xdr:to>
      <xdr:col>27</xdr:col>
      <xdr:colOff>197738</xdr:colOff>
      <xdr:row>128</xdr:row>
      <xdr:rowOff>215900</xdr:rowOff>
    </xdr:to>
    <xdr:sp macro="" textlink="">
      <xdr:nvSpPr>
        <xdr:cNvPr id="74651" name="129EndPoint"/>
        <xdr:cNvSpPr txBox="1"/>
      </xdr:nvSpPr>
      <xdr:spPr>
        <a:xfrm>
          <a:off x="15104363" y="317722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12/19</a:t>
          </a:r>
          <a:endParaRPr kumimoji="1" lang="ja-JP" altLang="en-US" sz="1000">
            <a:solidFill>
              <a:srgbClr val="000000"/>
            </a:solidFill>
          </a:endParaRPr>
        </a:p>
      </xdr:txBody>
    </xdr:sp>
    <xdr:clientData/>
  </xdr:twoCellAnchor>
  <xdr:twoCellAnchor>
    <xdr:from>
      <xdr:col>26</xdr:col>
      <xdr:colOff>60833</xdr:colOff>
      <xdr:row>129</xdr:row>
      <xdr:rowOff>85725</xdr:rowOff>
    </xdr:from>
    <xdr:to>
      <xdr:col>29</xdr:col>
      <xdr:colOff>108967</xdr:colOff>
      <xdr:row>129</xdr:row>
      <xdr:rowOff>161925</xdr:rowOff>
    </xdr:to>
    <xdr:sp macro="" textlink="">
      <xdr:nvSpPr>
        <xdr:cNvPr id="74652" name="130Graph"/>
        <xdr:cNvSpPr/>
      </xdr:nvSpPr>
      <xdr:spPr>
        <a:xfrm>
          <a:off x="15043658" y="32061150"/>
          <a:ext cx="1191134" cy="76200"/>
        </a:xfrm>
        <a:prstGeom prst="rect">
          <a:avLst/>
        </a:prstGeom>
        <a:pattFill prst="ltUpDiag">
          <a:fgClr>
            <a:srgbClr val="400040"/>
          </a:fgClr>
          <a:bgClr>
            <a:srgbClr val="C08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60833</xdr:colOff>
      <xdr:row>129</xdr:row>
      <xdr:rowOff>161925</xdr:rowOff>
    </xdr:from>
    <xdr:to>
      <xdr:col>30</xdr:col>
      <xdr:colOff>272162</xdr:colOff>
      <xdr:row>129</xdr:row>
      <xdr:rowOff>200025</xdr:rowOff>
    </xdr:to>
    <xdr:sp macro="" textlink="">
      <xdr:nvSpPr>
        <xdr:cNvPr id="74653" name="130Results"/>
        <xdr:cNvSpPr/>
      </xdr:nvSpPr>
      <xdr:spPr>
        <a:xfrm>
          <a:off x="15043658" y="32137350"/>
          <a:ext cx="1735329" cy="38100"/>
        </a:xfrm>
        <a:prstGeom prst="rect">
          <a:avLst/>
        </a:prstGeom>
        <a:solidFill>
          <a:srgbClr val="40004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121538</xdr:colOff>
      <xdr:row>129</xdr:row>
      <xdr:rowOff>44450</xdr:rowOff>
    </xdr:from>
    <xdr:to>
      <xdr:col>30</xdr:col>
      <xdr:colOff>197738</xdr:colOff>
      <xdr:row>129</xdr:row>
      <xdr:rowOff>215900</xdr:rowOff>
    </xdr:to>
    <xdr:sp macro="" textlink="">
      <xdr:nvSpPr>
        <xdr:cNvPr id="74654" name="130EndPoint"/>
        <xdr:cNvSpPr txBox="1"/>
      </xdr:nvSpPr>
      <xdr:spPr>
        <a:xfrm>
          <a:off x="16247363" y="320198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1/9</a:t>
          </a:r>
          <a:endParaRPr kumimoji="1" lang="ja-JP" altLang="en-US" sz="1000">
            <a:solidFill>
              <a:srgbClr val="000000"/>
            </a:solidFill>
          </a:endParaRPr>
        </a:p>
      </xdr:txBody>
    </xdr:sp>
    <xdr:clientData/>
  </xdr:twoCellAnchor>
  <xdr:twoCellAnchor>
    <xdr:from>
      <xdr:col>26</xdr:col>
      <xdr:colOff>60833</xdr:colOff>
      <xdr:row>130</xdr:row>
      <xdr:rowOff>85725</xdr:rowOff>
    </xdr:from>
    <xdr:to>
      <xdr:col>26</xdr:col>
      <xdr:colOff>108967</xdr:colOff>
      <xdr:row>130</xdr:row>
      <xdr:rowOff>161925</xdr:rowOff>
    </xdr:to>
    <xdr:sp macro="" textlink="">
      <xdr:nvSpPr>
        <xdr:cNvPr id="74655" name="131Graph"/>
        <xdr:cNvSpPr/>
      </xdr:nvSpPr>
      <xdr:spPr>
        <a:xfrm>
          <a:off x="15043658" y="32308800"/>
          <a:ext cx="48134" cy="76200"/>
        </a:xfrm>
        <a:prstGeom prst="rect">
          <a:avLst/>
        </a:prstGeom>
        <a:pattFill prst="ltUpDiag">
          <a:fgClr>
            <a:srgbClr val="400040"/>
          </a:fgClr>
          <a:bgClr>
            <a:srgbClr val="C08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60833</xdr:colOff>
      <xdr:row>130</xdr:row>
      <xdr:rowOff>161925</xdr:rowOff>
    </xdr:from>
    <xdr:to>
      <xdr:col>26</xdr:col>
      <xdr:colOff>108967</xdr:colOff>
      <xdr:row>130</xdr:row>
      <xdr:rowOff>200025</xdr:rowOff>
    </xdr:to>
    <xdr:sp macro="" textlink="">
      <xdr:nvSpPr>
        <xdr:cNvPr id="74656" name="131Results"/>
        <xdr:cNvSpPr/>
      </xdr:nvSpPr>
      <xdr:spPr>
        <a:xfrm>
          <a:off x="15043658" y="32385000"/>
          <a:ext cx="48134" cy="38100"/>
        </a:xfrm>
        <a:prstGeom prst="rect">
          <a:avLst/>
        </a:prstGeom>
        <a:solidFill>
          <a:srgbClr val="40004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121538</xdr:colOff>
      <xdr:row>130</xdr:row>
      <xdr:rowOff>44450</xdr:rowOff>
    </xdr:from>
    <xdr:to>
      <xdr:col>27</xdr:col>
      <xdr:colOff>197738</xdr:colOff>
      <xdr:row>130</xdr:row>
      <xdr:rowOff>215900</xdr:rowOff>
    </xdr:to>
    <xdr:sp macro="" textlink="">
      <xdr:nvSpPr>
        <xdr:cNvPr id="74657" name="131EndPoint"/>
        <xdr:cNvSpPr txBox="1"/>
      </xdr:nvSpPr>
      <xdr:spPr>
        <a:xfrm>
          <a:off x="15104363" y="322675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12/19</a:t>
          </a:r>
          <a:endParaRPr kumimoji="1" lang="ja-JP" altLang="en-US" sz="1000">
            <a:solidFill>
              <a:srgbClr val="000000"/>
            </a:solidFill>
          </a:endParaRPr>
        </a:p>
      </xdr:txBody>
    </xdr:sp>
    <xdr:clientData/>
  </xdr:twoCellAnchor>
  <xdr:twoCellAnchor>
    <xdr:from>
      <xdr:col>27</xdr:col>
      <xdr:colOff>53975</xdr:colOff>
      <xdr:row>129</xdr:row>
      <xdr:rowOff>79277</xdr:rowOff>
    </xdr:from>
    <xdr:to>
      <xdr:col>29</xdr:col>
      <xdr:colOff>273910</xdr:colOff>
      <xdr:row>129</xdr:row>
      <xdr:rowOff>238027</xdr:rowOff>
    </xdr:to>
    <xdr:sp macro="" textlink="">
      <xdr:nvSpPr>
        <xdr:cNvPr id="74658" name="131Comment"/>
        <xdr:cNvSpPr txBox="1"/>
      </xdr:nvSpPr>
      <xdr:spPr>
        <a:xfrm>
          <a:off x="15417800" y="32054702"/>
          <a:ext cx="981935" cy="158750"/>
        </a:xfrm>
        <a:prstGeom prst="rect">
          <a:avLst/>
        </a:prstGeom>
        <a:solidFill>
          <a:schemeClr val="lt1">
            <a:alpha val="10000"/>
          </a:scheme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spAutoFit/>
        </a:bodyPr>
        <a:lstStyle/>
        <a:p>
          <a:pPr algn="l"/>
          <a:r>
            <a:rPr kumimoji="1" lang="ja-JP" altLang="en-US" sz="900" b="0" i="0" u="none">
              <a:latin typeface="Meiryo UI"/>
            </a:rPr>
            <a:t>画面要件シート・
入出力定義書シート
</a:t>
          </a:r>
        </a:p>
      </xdr:txBody>
    </xdr:sp>
    <xdr:clientData/>
  </xdr:twoCellAnchor>
  <xdr:twoCellAnchor>
    <xdr:from>
      <xdr:col>26</xdr:col>
      <xdr:colOff>60833</xdr:colOff>
      <xdr:row>131</xdr:row>
      <xdr:rowOff>85725</xdr:rowOff>
    </xdr:from>
    <xdr:to>
      <xdr:col>27</xdr:col>
      <xdr:colOff>108967</xdr:colOff>
      <xdr:row>131</xdr:row>
      <xdr:rowOff>161925</xdr:rowOff>
    </xdr:to>
    <xdr:sp macro="" textlink="">
      <xdr:nvSpPr>
        <xdr:cNvPr id="74659" name="132Graph"/>
        <xdr:cNvSpPr/>
      </xdr:nvSpPr>
      <xdr:spPr>
        <a:xfrm>
          <a:off x="15043658" y="32556450"/>
          <a:ext cx="429134" cy="76200"/>
        </a:xfrm>
        <a:prstGeom prst="rect">
          <a:avLst/>
        </a:prstGeom>
        <a:pattFill prst="ltUpDiag">
          <a:fgClr>
            <a:srgbClr val="400040"/>
          </a:fgClr>
          <a:bgClr>
            <a:srgbClr val="C08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169672</xdr:colOff>
      <xdr:row>131</xdr:row>
      <xdr:rowOff>161925</xdr:rowOff>
    </xdr:from>
    <xdr:to>
      <xdr:col>27</xdr:col>
      <xdr:colOff>108838</xdr:colOff>
      <xdr:row>131</xdr:row>
      <xdr:rowOff>200025</xdr:rowOff>
    </xdr:to>
    <xdr:sp macro="" textlink="">
      <xdr:nvSpPr>
        <xdr:cNvPr id="74660" name="132Results"/>
        <xdr:cNvSpPr/>
      </xdr:nvSpPr>
      <xdr:spPr>
        <a:xfrm>
          <a:off x="15152497" y="32632650"/>
          <a:ext cx="320166" cy="38100"/>
        </a:xfrm>
        <a:prstGeom prst="rect">
          <a:avLst/>
        </a:prstGeom>
        <a:solidFill>
          <a:srgbClr val="40004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121538</xdr:colOff>
      <xdr:row>131</xdr:row>
      <xdr:rowOff>44450</xdr:rowOff>
    </xdr:from>
    <xdr:to>
      <xdr:col>28</xdr:col>
      <xdr:colOff>197738</xdr:colOff>
      <xdr:row>131</xdr:row>
      <xdr:rowOff>215900</xdr:rowOff>
    </xdr:to>
    <xdr:sp macro="" textlink="">
      <xdr:nvSpPr>
        <xdr:cNvPr id="74661" name="132EndPoint"/>
        <xdr:cNvSpPr txBox="1"/>
      </xdr:nvSpPr>
      <xdr:spPr>
        <a:xfrm>
          <a:off x="15485363" y="325151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12/26</a:t>
          </a:r>
          <a:endParaRPr kumimoji="1" lang="ja-JP" altLang="en-US" sz="1000">
            <a:solidFill>
              <a:srgbClr val="000000"/>
            </a:solidFill>
          </a:endParaRPr>
        </a:p>
      </xdr:txBody>
    </xdr:sp>
    <xdr:clientData/>
  </xdr:twoCellAnchor>
  <xdr:twoCellAnchor>
    <xdr:from>
      <xdr:col>28</xdr:col>
      <xdr:colOff>53975</xdr:colOff>
      <xdr:row>130</xdr:row>
      <xdr:rowOff>79277</xdr:rowOff>
    </xdr:from>
    <xdr:to>
      <xdr:col>30</xdr:col>
      <xdr:colOff>273910</xdr:colOff>
      <xdr:row>130</xdr:row>
      <xdr:rowOff>238027</xdr:rowOff>
    </xdr:to>
    <xdr:sp macro="" textlink="">
      <xdr:nvSpPr>
        <xdr:cNvPr id="74662" name="132Comment"/>
        <xdr:cNvSpPr txBox="1"/>
      </xdr:nvSpPr>
      <xdr:spPr>
        <a:xfrm>
          <a:off x="15798800" y="32302352"/>
          <a:ext cx="981935" cy="158750"/>
        </a:xfrm>
        <a:prstGeom prst="rect">
          <a:avLst/>
        </a:prstGeom>
        <a:solidFill>
          <a:schemeClr val="lt1">
            <a:alpha val="10000"/>
          </a:scheme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spAutoFit/>
        </a:bodyPr>
        <a:lstStyle/>
        <a:p>
          <a:pPr algn="l"/>
          <a:r>
            <a:rPr kumimoji="1" lang="ja-JP" altLang="en-US" sz="900" b="0" i="0" u="none">
              <a:latin typeface="Meiryo UI"/>
            </a:rPr>
            <a:t>画面要件シート・
入出力定義書シート
</a:t>
          </a:r>
        </a:p>
      </xdr:txBody>
    </xdr:sp>
    <xdr:clientData/>
  </xdr:twoCellAnchor>
  <xdr:twoCellAnchor>
    <xdr:from>
      <xdr:col>26</xdr:col>
      <xdr:colOff>60833</xdr:colOff>
      <xdr:row>132</xdr:row>
      <xdr:rowOff>85725</xdr:rowOff>
    </xdr:from>
    <xdr:to>
      <xdr:col>26</xdr:col>
      <xdr:colOff>108967</xdr:colOff>
      <xdr:row>132</xdr:row>
      <xdr:rowOff>161925</xdr:rowOff>
    </xdr:to>
    <xdr:sp macro="" textlink="">
      <xdr:nvSpPr>
        <xdr:cNvPr id="74663" name="133Graph"/>
        <xdr:cNvSpPr/>
      </xdr:nvSpPr>
      <xdr:spPr>
        <a:xfrm>
          <a:off x="15043658" y="32804100"/>
          <a:ext cx="48134" cy="76200"/>
        </a:xfrm>
        <a:prstGeom prst="rect">
          <a:avLst/>
        </a:prstGeom>
        <a:pattFill prst="ltUpDiag">
          <a:fgClr>
            <a:srgbClr val="400040"/>
          </a:fgClr>
          <a:bgClr>
            <a:srgbClr val="C08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60833</xdr:colOff>
      <xdr:row>132</xdr:row>
      <xdr:rowOff>161925</xdr:rowOff>
    </xdr:from>
    <xdr:to>
      <xdr:col>26</xdr:col>
      <xdr:colOff>108967</xdr:colOff>
      <xdr:row>132</xdr:row>
      <xdr:rowOff>200025</xdr:rowOff>
    </xdr:to>
    <xdr:sp macro="" textlink="">
      <xdr:nvSpPr>
        <xdr:cNvPr id="74664" name="133Results"/>
        <xdr:cNvSpPr/>
      </xdr:nvSpPr>
      <xdr:spPr>
        <a:xfrm>
          <a:off x="15043658" y="32880300"/>
          <a:ext cx="48134" cy="38100"/>
        </a:xfrm>
        <a:prstGeom prst="rect">
          <a:avLst/>
        </a:prstGeom>
        <a:solidFill>
          <a:srgbClr val="40004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121538</xdr:colOff>
      <xdr:row>132</xdr:row>
      <xdr:rowOff>44450</xdr:rowOff>
    </xdr:from>
    <xdr:to>
      <xdr:col>27</xdr:col>
      <xdr:colOff>197738</xdr:colOff>
      <xdr:row>132</xdr:row>
      <xdr:rowOff>215900</xdr:rowOff>
    </xdr:to>
    <xdr:sp macro="" textlink="">
      <xdr:nvSpPr>
        <xdr:cNvPr id="74665" name="133EndPoint"/>
        <xdr:cNvSpPr txBox="1"/>
      </xdr:nvSpPr>
      <xdr:spPr>
        <a:xfrm>
          <a:off x="15104363" y="327628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12/19</a:t>
          </a:r>
          <a:endParaRPr kumimoji="1" lang="ja-JP" altLang="en-US" sz="1000">
            <a:solidFill>
              <a:srgbClr val="000000"/>
            </a:solidFill>
          </a:endParaRPr>
        </a:p>
      </xdr:txBody>
    </xdr:sp>
    <xdr:clientData/>
  </xdr:twoCellAnchor>
  <xdr:twoCellAnchor>
    <xdr:from>
      <xdr:col>27</xdr:col>
      <xdr:colOff>60833</xdr:colOff>
      <xdr:row>133</xdr:row>
      <xdr:rowOff>85725</xdr:rowOff>
    </xdr:from>
    <xdr:to>
      <xdr:col>27</xdr:col>
      <xdr:colOff>108967</xdr:colOff>
      <xdr:row>133</xdr:row>
      <xdr:rowOff>161925</xdr:rowOff>
    </xdr:to>
    <xdr:sp macro="" textlink="">
      <xdr:nvSpPr>
        <xdr:cNvPr id="74666" name="134Graph"/>
        <xdr:cNvSpPr/>
      </xdr:nvSpPr>
      <xdr:spPr>
        <a:xfrm>
          <a:off x="15424658" y="33051750"/>
          <a:ext cx="48134" cy="76200"/>
        </a:xfrm>
        <a:prstGeom prst="rect">
          <a:avLst/>
        </a:prstGeom>
        <a:pattFill prst="ltUpDiag">
          <a:fgClr>
            <a:srgbClr val="400040"/>
          </a:fgClr>
          <a:bgClr>
            <a:srgbClr val="C08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169672</xdr:colOff>
      <xdr:row>133</xdr:row>
      <xdr:rowOff>161925</xdr:rowOff>
    </xdr:from>
    <xdr:to>
      <xdr:col>27</xdr:col>
      <xdr:colOff>108838</xdr:colOff>
      <xdr:row>133</xdr:row>
      <xdr:rowOff>200025</xdr:rowOff>
    </xdr:to>
    <xdr:sp macro="" textlink="">
      <xdr:nvSpPr>
        <xdr:cNvPr id="74667" name="134Results"/>
        <xdr:cNvSpPr/>
      </xdr:nvSpPr>
      <xdr:spPr>
        <a:xfrm>
          <a:off x="15152497" y="33127950"/>
          <a:ext cx="320166" cy="38100"/>
        </a:xfrm>
        <a:prstGeom prst="rect">
          <a:avLst/>
        </a:prstGeom>
        <a:solidFill>
          <a:srgbClr val="40004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121538</xdr:colOff>
      <xdr:row>133</xdr:row>
      <xdr:rowOff>44450</xdr:rowOff>
    </xdr:from>
    <xdr:to>
      <xdr:col>28</xdr:col>
      <xdr:colOff>197738</xdr:colOff>
      <xdr:row>133</xdr:row>
      <xdr:rowOff>215900</xdr:rowOff>
    </xdr:to>
    <xdr:sp macro="" textlink="">
      <xdr:nvSpPr>
        <xdr:cNvPr id="74668" name="134EndPoint"/>
        <xdr:cNvSpPr txBox="1"/>
      </xdr:nvSpPr>
      <xdr:spPr>
        <a:xfrm>
          <a:off x="15485363" y="330104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12/26</a:t>
          </a:r>
          <a:endParaRPr kumimoji="1" lang="ja-JP" altLang="en-US" sz="1000">
            <a:solidFill>
              <a:srgbClr val="000000"/>
            </a:solidFill>
          </a:endParaRPr>
        </a:p>
      </xdr:txBody>
    </xdr:sp>
    <xdr:clientData/>
  </xdr:twoCellAnchor>
  <xdr:twoCellAnchor>
    <xdr:from>
      <xdr:col>29</xdr:col>
      <xdr:colOff>60833</xdr:colOff>
      <xdr:row>134</xdr:row>
      <xdr:rowOff>85725</xdr:rowOff>
    </xdr:from>
    <xdr:to>
      <xdr:col>29</xdr:col>
      <xdr:colOff>108967</xdr:colOff>
      <xdr:row>134</xdr:row>
      <xdr:rowOff>161925</xdr:rowOff>
    </xdr:to>
    <xdr:sp macro="" textlink="">
      <xdr:nvSpPr>
        <xdr:cNvPr id="74669" name="135Graph"/>
        <xdr:cNvSpPr/>
      </xdr:nvSpPr>
      <xdr:spPr>
        <a:xfrm>
          <a:off x="16186658" y="33299400"/>
          <a:ext cx="48134" cy="76200"/>
        </a:xfrm>
        <a:prstGeom prst="rect">
          <a:avLst/>
        </a:prstGeom>
        <a:pattFill prst="ltUpDiag">
          <a:fgClr>
            <a:srgbClr val="400040"/>
          </a:fgClr>
          <a:bgClr>
            <a:srgbClr val="C08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121538</xdr:colOff>
      <xdr:row>134</xdr:row>
      <xdr:rowOff>44450</xdr:rowOff>
    </xdr:from>
    <xdr:to>
      <xdr:col>30</xdr:col>
      <xdr:colOff>197738</xdr:colOff>
      <xdr:row>134</xdr:row>
      <xdr:rowOff>215900</xdr:rowOff>
    </xdr:to>
    <xdr:sp macro="" textlink="">
      <xdr:nvSpPr>
        <xdr:cNvPr id="74670" name="135EndPoint"/>
        <xdr:cNvSpPr txBox="1"/>
      </xdr:nvSpPr>
      <xdr:spPr>
        <a:xfrm>
          <a:off x="16247363" y="332581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1/9</a:t>
          </a:r>
          <a:endParaRPr kumimoji="1" lang="ja-JP" altLang="en-US" sz="1000">
            <a:solidFill>
              <a:srgbClr val="000000"/>
            </a:solidFill>
          </a:endParaRPr>
        </a:p>
      </xdr:txBody>
    </xdr:sp>
    <xdr:clientData/>
  </xdr:twoCellAnchor>
  <xdr:twoCellAnchor>
    <xdr:from>
      <xdr:col>29</xdr:col>
      <xdr:colOff>60833</xdr:colOff>
      <xdr:row>135</xdr:row>
      <xdr:rowOff>85725</xdr:rowOff>
    </xdr:from>
    <xdr:to>
      <xdr:col>29</xdr:col>
      <xdr:colOff>108967</xdr:colOff>
      <xdr:row>135</xdr:row>
      <xdr:rowOff>161925</xdr:rowOff>
    </xdr:to>
    <xdr:sp macro="" textlink="">
      <xdr:nvSpPr>
        <xdr:cNvPr id="74671" name="136Graph"/>
        <xdr:cNvSpPr/>
      </xdr:nvSpPr>
      <xdr:spPr>
        <a:xfrm>
          <a:off x="16186658" y="33547050"/>
          <a:ext cx="48134" cy="76200"/>
        </a:xfrm>
        <a:prstGeom prst="rect">
          <a:avLst/>
        </a:prstGeom>
        <a:pattFill prst="ltUpDiag">
          <a:fgClr>
            <a:srgbClr val="400040"/>
          </a:fgClr>
          <a:bgClr>
            <a:srgbClr val="C08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60833</xdr:colOff>
      <xdr:row>135</xdr:row>
      <xdr:rowOff>161925</xdr:rowOff>
    </xdr:from>
    <xdr:to>
      <xdr:col>29</xdr:col>
      <xdr:colOff>108967</xdr:colOff>
      <xdr:row>135</xdr:row>
      <xdr:rowOff>200025</xdr:rowOff>
    </xdr:to>
    <xdr:sp macro="" textlink="">
      <xdr:nvSpPr>
        <xdr:cNvPr id="74672" name="136Results"/>
        <xdr:cNvSpPr/>
      </xdr:nvSpPr>
      <xdr:spPr>
        <a:xfrm>
          <a:off x="15424658" y="33623250"/>
          <a:ext cx="810134" cy="38100"/>
        </a:xfrm>
        <a:prstGeom prst="rect">
          <a:avLst/>
        </a:prstGeom>
        <a:solidFill>
          <a:srgbClr val="40004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121538</xdr:colOff>
      <xdr:row>135</xdr:row>
      <xdr:rowOff>44450</xdr:rowOff>
    </xdr:from>
    <xdr:to>
      <xdr:col>30</xdr:col>
      <xdr:colOff>197738</xdr:colOff>
      <xdr:row>135</xdr:row>
      <xdr:rowOff>215900</xdr:rowOff>
    </xdr:to>
    <xdr:sp macro="" textlink="">
      <xdr:nvSpPr>
        <xdr:cNvPr id="74673" name="136EndPoint"/>
        <xdr:cNvSpPr txBox="1"/>
      </xdr:nvSpPr>
      <xdr:spPr>
        <a:xfrm>
          <a:off x="16247363" y="335057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1/9</a:t>
          </a:r>
          <a:endParaRPr kumimoji="1" lang="ja-JP" altLang="en-US" sz="1000">
            <a:solidFill>
              <a:srgbClr val="000000"/>
            </a:solidFill>
          </a:endParaRPr>
        </a:p>
      </xdr:txBody>
    </xdr:sp>
    <xdr:clientData/>
  </xdr:twoCellAnchor>
  <xdr:twoCellAnchor>
    <xdr:from>
      <xdr:col>29</xdr:col>
      <xdr:colOff>169672</xdr:colOff>
      <xdr:row>136</xdr:row>
      <xdr:rowOff>85725</xdr:rowOff>
    </xdr:from>
    <xdr:to>
      <xdr:col>29</xdr:col>
      <xdr:colOff>217805</xdr:colOff>
      <xdr:row>136</xdr:row>
      <xdr:rowOff>161925</xdr:rowOff>
    </xdr:to>
    <xdr:sp macro="" textlink="">
      <xdr:nvSpPr>
        <xdr:cNvPr id="74674" name="137Graph"/>
        <xdr:cNvSpPr/>
      </xdr:nvSpPr>
      <xdr:spPr>
        <a:xfrm>
          <a:off x="16295497" y="33794700"/>
          <a:ext cx="48133" cy="76200"/>
        </a:xfrm>
        <a:prstGeom prst="rect">
          <a:avLst/>
        </a:prstGeom>
        <a:pattFill prst="ltUpDiag">
          <a:fgClr>
            <a:srgbClr val="400040"/>
          </a:fgClr>
          <a:bgClr>
            <a:srgbClr val="C08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169672</xdr:colOff>
      <xdr:row>136</xdr:row>
      <xdr:rowOff>161925</xdr:rowOff>
    </xdr:from>
    <xdr:to>
      <xdr:col>29</xdr:col>
      <xdr:colOff>217805</xdr:colOff>
      <xdr:row>136</xdr:row>
      <xdr:rowOff>200025</xdr:rowOff>
    </xdr:to>
    <xdr:sp macro="" textlink="">
      <xdr:nvSpPr>
        <xdr:cNvPr id="74675" name="137Results"/>
        <xdr:cNvSpPr/>
      </xdr:nvSpPr>
      <xdr:spPr>
        <a:xfrm>
          <a:off x="16295497" y="33870900"/>
          <a:ext cx="48133" cy="38100"/>
        </a:xfrm>
        <a:prstGeom prst="rect">
          <a:avLst/>
        </a:prstGeom>
        <a:solidFill>
          <a:srgbClr val="40004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230378</xdr:colOff>
      <xdr:row>136</xdr:row>
      <xdr:rowOff>44450</xdr:rowOff>
    </xdr:from>
    <xdr:to>
      <xdr:col>30</xdr:col>
      <xdr:colOff>306578</xdr:colOff>
      <xdr:row>136</xdr:row>
      <xdr:rowOff>215900</xdr:rowOff>
    </xdr:to>
    <xdr:sp macro="" textlink="">
      <xdr:nvSpPr>
        <xdr:cNvPr id="74676" name="137EndPoint"/>
        <xdr:cNvSpPr txBox="1"/>
      </xdr:nvSpPr>
      <xdr:spPr>
        <a:xfrm>
          <a:off x="16356203" y="337534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1/11</a:t>
          </a:r>
          <a:endParaRPr kumimoji="1" lang="ja-JP" altLang="en-US" sz="1000">
            <a:solidFill>
              <a:srgbClr val="000000"/>
            </a:solidFill>
          </a:endParaRPr>
        </a:p>
      </xdr:txBody>
    </xdr:sp>
    <xdr:clientData/>
  </xdr:twoCellAnchor>
  <xdr:twoCellAnchor>
    <xdr:from>
      <xdr:col>30</xdr:col>
      <xdr:colOff>60833</xdr:colOff>
      <xdr:row>137</xdr:row>
      <xdr:rowOff>85725</xdr:rowOff>
    </xdr:from>
    <xdr:to>
      <xdr:col>31</xdr:col>
      <xdr:colOff>108967</xdr:colOff>
      <xdr:row>137</xdr:row>
      <xdr:rowOff>161925</xdr:rowOff>
    </xdr:to>
    <xdr:sp macro="" textlink="">
      <xdr:nvSpPr>
        <xdr:cNvPr id="74677" name="138Graph"/>
        <xdr:cNvSpPr/>
      </xdr:nvSpPr>
      <xdr:spPr>
        <a:xfrm>
          <a:off x="16567658" y="34042350"/>
          <a:ext cx="429134" cy="76200"/>
        </a:xfrm>
        <a:prstGeom prst="rect">
          <a:avLst/>
        </a:prstGeom>
        <a:pattFill prst="ltUpDiag">
          <a:fgClr>
            <a:srgbClr val="400040"/>
          </a:fgClr>
          <a:bgClr>
            <a:srgbClr val="C08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169672</xdr:colOff>
      <xdr:row>137</xdr:row>
      <xdr:rowOff>161925</xdr:rowOff>
    </xdr:from>
    <xdr:to>
      <xdr:col>29</xdr:col>
      <xdr:colOff>217805</xdr:colOff>
      <xdr:row>137</xdr:row>
      <xdr:rowOff>200025</xdr:rowOff>
    </xdr:to>
    <xdr:sp macro="" textlink="">
      <xdr:nvSpPr>
        <xdr:cNvPr id="74678" name="138Results"/>
        <xdr:cNvSpPr/>
      </xdr:nvSpPr>
      <xdr:spPr>
        <a:xfrm>
          <a:off x="16295497" y="34118550"/>
          <a:ext cx="48133" cy="38100"/>
        </a:xfrm>
        <a:prstGeom prst="rect">
          <a:avLst/>
        </a:prstGeom>
        <a:solidFill>
          <a:srgbClr val="40004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31</xdr:col>
      <xdr:colOff>121538</xdr:colOff>
      <xdr:row>137</xdr:row>
      <xdr:rowOff>44450</xdr:rowOff>
    </xdr:from>
    <xdr:to>
      <xdr:col>32</xdr:col>
      <xdr:colOff>197738</xdr:colOff>
      <xdr:row>137</xdr:row>
      <xdr:rowOff>215900</xdr:rowOff>
    </xdr:to>
    <xdr:sp macro="" textlink="">
      <xdr:nvSpPr>
        <xdr:cNvPr id="74679" name="138EndPoint"/>
        <xdr:cNvSpPr txBox="1"/>
      </xdr:nvSpPr>
      <xdr:spPr>
        <a:xfrm>
          <a:off x="17009363" y="340010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1/23</a:t>
          </a:r>
          <a:endParaRPr kumimoji="1" lang="ja-JP" altLang="en-US" sz="1000">
            <a:solidFill>
              <a:srgbClr val="000000"/>
            </a:solidFill>
          </a:endParaRPr>
        </a:p>
      </xdr:txBody>
    </xdr:sp>
    <xdr:clientData/>
  </xdr:twoCellAnchor>
  <xdr:twoCellAnchor>
    <xdr:from>
      <xdr:col>31</xdr:col>
      <xdr:colOff>60833</xdr:colOff>
      <xdr:row>138</xdr:row>
      <xdr:rowOff>85725</xdr:rowOff>
    </xdr:from>
    <xdr:to>
      <xdr:col>31</xdr:col>
      <xdr:colOff>108967</xdr:colOff>
      <xdr:row>138</xdr:row>
      <xdr:rowOff>161925</xdr:rowOff>
    </xdr:to>
    <xdr:sp macro="" textlink="">
      <xdr:nvSpPr>
        <xdr:cNvPr id="74680" name="139Graph"/>
        <xdr:cNvSpPr/>
      </xdr:nvSpPr>
      <xdr:spPr>
        <a:xfrm>
          <a:off x="16948658" y="34290000"/>
          <a:ext cx="48134" cy="76200"/>
        </a:xfrm>
        <a:prstGeom prst="rect">
          <a:avLst/>
        </a:prstGeom>
        <a:pattFill prst="ltUpDiag">
          <a:fgClr>
            <a:srgbClr val="400040"/>
          </a:fgClr>
          <a:bgClr>
            <a:srgbClr val="C08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169672</xdr:colOff>
      <xdr:row>138</xdr:row>
      <xdr:rowOff>161925</xdr:rowOff>
    </xdr:from>
    <xdr:to>
      <xdr:col>29</xdr:col>
      <xdr:colOff>217805</xdr:colOff>
      <xdr:row>138</xdr:row>
      <xdr:rowOff>200025</xdr:rowOff>
    </xdr:to>
    <xdr:sp macro="" textlink="">
      <xdr:nvSpPr>
        <xdr:cNvPr id="74681" name="139Results"/>
        <xdr:cNvSpPr/>
      </xdr:nvSpPr>
      <xdr:spPr>
        <a:xfrm>
          <a:off x="16295497" y="34366200"/>
          <a:ext cx="48133" cy="38100"/>
        </a:xfrm>
        <a:prstGeom prst="rect">
          <a:avLst/>
        </a:prstGeom>
        <a:solidFill>
          <a:srgbClr val="40004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31</xdr:col>
      <xdr:colOff>121538</xdr:colOff>
      <xdr:row>138</xdr:row>
      <xdr:rowOff>44450</xdr:rowOff>
    </xdr:from>
    <xdr:to>
      <xdr:col>32</xdr:col>
      <xdr:colOff>197738</xdr:colOff>
      <xdr:row>138</xdr:row>
      <xdr:rowOff>215900</xdr:rowOff>
    </xdr:to>
    <xdr:sp macro="" textlink="">
      <xdr:nvSpPr>
        <xdr:cNvPr id="74682" name="139EndPoint"/>
        <xdr:cNvSpPr txBox="1"/>
      </xdr:nvSpPr>
      <xdr:spPr>
        <a:xfrm>
          <a:off x="17009363" y="342487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1/23</a:t>
          </a:r>
          <a:endParaRPr kumimoji="1" lang="ja-JP" altLang="en-US" sz="1000">
            <a:solidFill>
              <a:srgbClr val="000000"/>
            </a:solidFill>
          </a:endParaRPr>
        </a:p>
      </xdr:txBody>
    </xdr:sp>
    <xdr:clientData/>
  </xdr:twoCellAnchor>
  <xdr:twoCellAnchor>
    <xdr:from>
      <xdr:col>26</xdr:col>
      <xdr:colOff>169672</xdr:colOff>
      <xdr:row>139</xdr:row>
      <xdr:rowOff>0</xdr:rowOff>
    </xdr:from>
    <xdr:to>
      <xdr:col>27</xdr:col>
      <xdr:colOff>163322</xdr:colOff>
      <xdr:row>140</xdr:row>
      <xdr:rowOff>0</xdr:rowOff>
    </xdr:to>
    <xdr:sp macro="" textlink="">
      <xdr:nvSpPr>
        <xdr:cNvPr id="74683" name="140Graph"/>
        <xdr:cNvSpPr/>
      </xdr:nvSpPr>
      <xdr:spPr>
        <a:xfrm>
          <a:off x="15152497" y="34451925"/>
          <a:ext cx="374650" cy="247650"/>
        </a:xfrm>
        <a:prstGeom prst="rect">
          <a:avLst/>
        </a:prstGeom>
        <a:gradFill flip="none" rotWithShape="1">
          <a:gsLst>
            <a:gs pos="0">
              <a:srgbClr val="4C6680"/>
            </a:gs>
            <a:gs pos="50000">
              <a:srgbClr val="FFFFFF"/>
            </a:gs>
            <a:gs pos="100000">
              <a:srgbClr val="CCE6FF"/>
            </a:gs>
          </a:gsLst>
          <a:lin ang="5400000" scaled="1"/>
          <a:tileRect/>
        </a:gra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kumimoji="1" lang="ja-JP" altLang="en-US" sz="1000">
              <a:solidFill>
                <a:srgbClr val="000000"/>
              </a:solidFill>
            </a:rPr>
            <a:t>出荷構成比マスタ登録画面</a:t>
          </a:r>
          <a:r>
            <a:rPr kumimoji="1" lang="en-US" altLang="ja-JP" sz="1000">
              <a:solidFill>
                <a:srgbClr val="000000"/>
              </a:solidFill>
            </a:rPr>
            <a:t>(12/21</a:t>
          </a:r>
          <a:r>
            <a:rPr kumimoji="1" lang="ja-JP" altLang="en-US" sz="1000">
              <a:solidFill>
                <a:srgbClr val="000000"/>
              </a:solidFill>
            </a:rPr>
            <a:t>～</a:t>
          </a:r>
          <a:r>
            <a:rPr kumimoji="1" lang="en-US" altLang="ja-JP" sz="1000">
              <a:solidFill>
                <a:srgbClr val="000000"/>
              </a:solidFill>
            </a:rPr>
            <a:t>12/27)</a:t>
          </a:r>
          <a:endParaRPr kumimoji="1" lang="ja-JP" altLang="en-US" sz="1000">
            <a:solidFill>
              <a:srgbClr val="000000"/>
            </a:solidFill>
          </a:endParaRPr>
        </a:p>
      </xdr:txBody>
    </xdr:sp>
    <xdr:clientData/>
  </xdr:twoCellAnchor>
  <xdr:twoCellAnchor>
    <xdr:from>
      <xdr:col>26</xdr:col>
      <xdr:colOff>169672</xdr:colOff>
      <xdr:row>140</xdr:row>
      <xdr:rowOff>85725</xdr:rowOff>
    </xdr:from>
    <xdr:to>
      <xdr:col>26</xdr:col>
      <xdr:colOff>217805</xdr:colOff>
      <xdr:row>140</xdr:row>
      <xdr:rowOff>161925</xdr:rowOff>
    </xdr:to>
    <xdr:sp macro="" textlink="">
      <xdr:nvSpPr>
        <xdr:cNvPr id="74684" name="141Graph"/>
        <xdr:cNvSpPr/>
      </xdr:nvSpPr>
      <xdr:spPr>
        <a:xfrm>
          <a:off x="15152497" y="34785300"/>
          <a:ext cx="48133"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169672</xdr:colOff>
      <xdr:row>140</xdr:row>
      <xdr:rowOff>161925</xdr:rowOff>
    </xdr:from>
    <xdr:to>
      <xdr:col>26</xdr:col>
      <xdr:colOff>217805</xdr:colOff>
      <xdr:row>140</xdr:row>
      <xdr:rowOff>200025</xdr:rowOff>
    </xdr:to>
    <xdr:sp macro="" textlink="">
      <xdr:nvSpPr>
        <xdr:cNvPr id="74685" name="141Results"/>
        <xdr:cNvSpPr/>
      </xdr:nvSpPr>
      <xdr:spPr>
        <a:xfrm>
          <a:off x="15152497" y="34861500"/>
          <a:ext cx="48133"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230378</xdr:colOff>
      <xdr:row>140</xdr:row>
      <xdr:rowOff>44450</xdr:rowOff>
    </xdr:from>
    <xdr:to>
      <xdr:col>27</xdr:col>
      <xdr:colOff>306578</xdr:colOff>
      <xdr:row>140</xdr:row>
      <xdr:rowOff>215900</xdr:rowOff>
    </xdr:to>
    <xdr:sp macro="" textlink="">
      <xdr:nvSpPr>
        <xdr:cNvPr id="74686" name="141EndPoint"/>
        <xdr:cNvSpPr txBox="1"/>
      </xdr:nvSpPr>
      <xdr:spPr>
        <a:xfrm>
          <a:off x="15213203" y="347440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12/21</a:t>
          </a:r>
          <a:endParaRPr kumimoji="1" lang="ja-JP" altLang="en-US" sz="1000">
            <a:solidFill>
              <a:srgbClr val="000000"/>
            </a:solidFill>
          </a:endParaRPr>
        </a:p>
      </xdr:txBody>
    </xdr:sp>
    <xdr:clientData/>
  </xdr:twoCellAnchor>
  <xdr:twoCellAnchor>
    <xdr:from>
      <xdr:col>26</xdr:col>
      <xdr:colOff>169672</xdr:colOff>
      <xdr:row>141</xdr:row>
      <xdr:rowOff>85725</xdr:rowOff>
    </xdr:from>
    <xdr:to>
      <xdr:col>27</xdr:col>
      <xdr:colOff>54483</xdr:colOff>
      <xdr:row>141</xdr:row>
      <xdr:rowOff>161925</xdr:rowOff>
    </xdr:to>
    <xdr:sp macro="" textlink="">
      <xdr:nvSpPr>
        <xdr:cNvPr id="74687" name="142Graph"/>
        <xdr:cNvSpPr/>
      </xdr:nvSpPr>
      <xdr:spPr>
        <a:xfrm>
          <a:off x="15152497" y="35032950"/>
          <a:ext cx="265811"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169672</xdr:colOff>
      <xdr:row>141</xdr:row>
      <xdr:rowOff>161925</xdr:rowOff>
    </xdr:from>
    <xdr:to>
      <xdr:col>26</xdr:col>
      <xdr:colOff>272160</xdr:colOff>
      <xdr:row>141</xdr:row>
      <xdr:rowOff>200025</xdr:rowOff>
    </xdr:to>
    <xdr:sp macro="" textlink="">
      <xdr:nvSpPr>
        <xdr:cNvPr id="74688" name="142Results"/>
        <xdr:cNvSpPr/>
      </xdr:nvSpPr>
      <xdr:spPr>
        <a:xfrm>
          <a:off x="15152497" y="35109150"/>
          <a:ext cx="102488"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67183</xdr:colOff>
      <xdr:row>141</xdr:row>
      <xdr:rowOff>44450</xdr:rowOff>
    </xdr:from>
    <xdr:to>
      <xdr:col>28</xdr:col>
      <xdr:colOff>143383</xdr:colOff>
      <xdr:row>141</xdr:row>
      <xdr:rowOff>215900</xdr:rowOff>
    </xdr:to>
    <xdr:sp macro="" textlink="">
      <xdr:nvSpPr>
        <xdr:cNvPr id="74689" name="142EndPoint"/>
        <xdr:cNvSpPr txBox="1"/>
      </xdr:nvSpPr>
      <xdr:spPr>
        <a:xfrm>
          <a:off x="15431008" y="349916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12/25</a:t>
          </a:r>
          <a:endParaRPr kumimoji="1" lang="ja-JP" altLang="en-US" sz="1000">
            <a:solidFill>
              <a:srgbClr val="000000"/>
            </a:solidFill>
          </a:endParaRPr>
        </a:p>
      </xdr:txBody>
    </xdr:sp>
    <xdr:clientData/>
  </xdr:twoCellAnchor>
  <xdr:twoCellAnchor>
    <xdr:from>
      <xdr:col>26</xdr:col>
      <xdr:colOff>169672</xdr:colOff>
      <xdr:row>142</xdr:row>
      <xdr:rowOff>85725</xdr:rowOff>
    </xdr:from>
    <xdr:to>
      <xdr:col>26</xdr:col>
      <xdr:colOff>217805</xdr:colOff>
      <xdr:row>142</xdr:row>
      <xdr:rowOff>161925</xdr:rowOff>
    </xdr:to>
    <xdr:sp macro="" textlink="">
      <xdr:nvSpPr>
        <xdr:cNvPr id="74690" name="143Graph"/>
        <xdr:cNvSpPr/>
      </xdr:nvSpPr>
      <xdr:spPr>
        <a:xfrm>
          <a:off x="15152497" y="35280600"/>
          <a:ext cx="48133"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169672</xdr:colOff>
      <xdr:row>142</xdr:row>
      <xdr:rowOff>161925</xdr:rowOff>
    </xdr:from>
    <xdr:to>
      <xdr:col>26</xdr:col>
      <xdr:colOff>217805</xdr:colOff>
      <xdr:row>142</xdr:row>
      <xdr:rowOff>200025</xdr:rowOff>
    </xdr:to>
    <xdr:sp macro="" textlink="">
      <xdr:nvSpPr>
        <xdr:cNvPr id="74691" name="143Results"/>
        <xdr:cNvSpPr/>
      </xdr:nvSpPr>
      <xdr:spPr>
        <a:xfrm>
          <a:off x="15152497" y="35356800"/>
          <a:ext cx="48133"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230378</xdr:colOff>
      <xdr:row>142</xdr:row>
      <xdr:rowOff>44450</xdr:rowOff>
    </xdr:from>
    <xdr:to>
      <xdr:col>27</xdr:col>
      <xdr:colOff>306578</xdr:colOff>
      <xdr:row>142</xdr:row>
      <xdr:rowOff>215900</xdr:rowOff>
    </xdr:to>
    <xdr:sp macro="" textlink="">
      <xdr:nvSpPr>
        <xdr:cNvPr id="74692" name="143EndPoint"/>
        <xdr:cNvSpPr txBox="1"/>
      </xdr:nvSpPr>
      <xdr:spPr>
        <a:xfrm>
          <a:off x="15213203" y="352393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12/21</a:t>
          </a:r>
          <a:endParaRPr kumimoji="1" lang="ja-JP" altLang="en-US" sz="1000">
            <a:solidFill>
              <a:srgbClr val="000000"/>
            </a:solidFill>
          </a:endParaRPr>
        </a:p>
      </xdr:txBody>
    </xdr:sp>
    <xdr:clientData/>
  </xdr:twoCellAnchor>
  <xdr:twoCellAnchor>
    <xdr:from>
      <xdr:col>27</xdr:col>
      <xdr:colOff>168275</xdr:colOff>
      <xdr:row>141</xdr:row>
      <xdr:rowOff>79277</xdr:rowOff>
    </xdr:from>
    <xdr:to>
      <xdr:col>30</xdr:col>
      <xdr:colOff>7210</xdr:colOff>
      <xdr:row>141</xdr:row>
      <xdr:rowOff>238027</xdr:rowOff>
    </xdr:to>
    <xdr:sp macro="" textlink="">
      <xdr:nvSpPr>
        <xdr:cNvPr id="74693" name="143Comment"/>
        <xdr:cNvSpPr txBox="1"/>
      </xdr:nvSpPr>
      <xdr:spPr>
        <a:xfrm>
          <a:off x="15532100" y="35026502"/>
          <a:ext cx="981935" cy="158750"/>
        </a:xfrm>
        <a:prstGeom prst="rect">
          <a:avLst/>
        </a:prstGeom>
        <a:solidFill>
          <a:schemeClr val="lt1">
            <a:alpha val="10000"/>
          </a:scheme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spAutoFit/>
        </a:bodyPr>
        <a:lstStyle/>
        <a:p>
          <a:pPr algn="l"/>
          <a:r>
            <a:rPr kumimoji="1" lang="ja-JP" altLang="en-US" sz="900" b="0" i="0" u="none">
              <a:latin typeface="Meiryo UI"/>
            </a:rPr>
            <a:t>画面要件シート・
入出力定義書シート
</a:t>
          </a:r>
        </a:p>
      </xdr:txBody>
    </xdr:sp>
    <xdr:clientData/>
  </xdr:twoCellAnchor>
  <xdr:twoCellAnchor>
    <xdr:from>
      <xdr:col>26</xdr:col>
      <xdr:colOff>169672</xdr:colOff>
      <xdr:row>143</xdr:row>
      <xdr:rowOff>85725</xdr:rowOff>
    </xdr:from>
    <xdr:to>
      <xdr:col>26</xdr:col>
      <xdr:colOff>272160</xdr:colOff>
      <xdr:row>143</xdr:row>
      <xdr:rowOff>161925</xdr:rowOff>
    </xdr:to>
    <xdr:sp macro="" textlink="">
      <xdr:nvSpPr>
        <xdr:cNvPr id="74694" name="144Graph"/>
        <xdr:cNvSpPr/>
      </xdr:nvSpPr>
      <xdr:spPr>
        <a:xfrm>
          <a:off x="15152497" y="35528250"/>
          <a:ext cx="102488"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169672</xdr:colOff>
      <xdr:row>143</xdr:row>
      <xdr:rowOff>161925</xdr:rowOff>
    </xdr:from>
    <xdr:to>
      <xdr:col>26</xdr:col>
      <xdr:colOff>272160</xdr:colOff>
      <xdr:row>143</xdr:row>
      <xdr:rowOff>200025</xdr:rowOff>
    </xdr:to>
    <xdr:sp macro="" textlink="">
      <xdr:nvSpPr>
        <xdr:cNvPr id="74695" name="144Results"/>
        <xdr:cNvSpPr/>
      </xdr:nvSpPr>
      <xdr:spPr>
        <a:xfrm>
          <a:off x="15152497" y="35604450"/>
          <a:ext cx="102488"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284862</xdr:colOff>
      <xdr:row>143</xdr:row>
      <xdr:rowOff>44450</xdr:rowOff>
    </xdr:from>
    <xdr:to>
      <xdr:col>27</xdr:col>
      <xdr:colOff>361062</xdr:colOff>
      <xdr:row>143</xdr:row>
      <xdr:rowOff>215900</xdr:rowOff>
    </xdr:to>
    <xdr:sp macro="" textlink="">
      <xdr:nvSpPr>
        <xdr:cNvPr id="74696" name="144EndPoint"/>
        <xdr:cNvSpPr txBox="1"/>
      </xdr:nvSpPr>
      <xdr:spPr>
        <a:xfrm>
          <a:off x="15267687" y="354869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12/22</a:t>
          </a:r>
          <a:endParaRPr kumimoji="1" lang="ja-JP" altLang="en-US" sz="1000">
            <a:solidFill>
              <a:srgbClr val="000000"/>
            </a:solidFill>
          </a:endParaRPr>
        </a:p>
      </xdr:txBody>
    </xdr:sp>
    <xdr:clientData/>
  </xdr:twoCellAnchor>
  <xdr:twoCellAnchor>
    <xdr:from>
      <xdr:col>27</xdr:col>
      <xdr:colOff>219075</xdr:colOff>
      <xdr:row>142</xdr:row>
      <xdr:rowOff>79277</xdr:rowOff>
    </xdr:from>
    <xdr:to>
      <xdr:col>30</xdr:col>
      <xdr:colOff>58010</xdr:colOff>
      <xdr:row>142</xdr:row>
      <xdr:rowOff>238027</xdr:rowOff>
    </xdr:to>
    <xdr:sp macro="" textlink="">
      <xdr:nvSpPr>
        <xdr:cNvPr id="74697" name="144Comment"/>
        <xdr:cNvSpPr txBox="1"/>
      </xdr:nvSpPr>
      <xdr:spPr>
        <a:xfrm>
          <a:off x="15582900" y="35274152"/>
          <a:ext cx="981935" cy="158750"/>
        </a:xfrm>
        <a:prstGeom prst="rect">
          <a:avLst/>
        </a:prstGeom>
        <a:solidFill>
          <a:schemeClr val="lt1">
            <a:alpha val="10000"/>
          </a:scheme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spAutoFit/>
        </a:bodyPr>
        <a:lstStyle/>
        <a:p>
          <a:pPr algn="l"/>
          <a:r>
            <a:rPr kumimoji="1" lang="ja-JP" altLang="en-US" sz="900" b="0" i="0" u="none">
              <a:latin typeface="Meiryo UI"/>
            </a:rPr>
            <a:t>画面要件シート・
入出力定義書シート
</a:t>
          </a:r>
        </a:p>
      </xdr:txBody>
    </xdr:sp>
    <xdr:clientData/>
  </xdr:twoCellAnchor>
  <xdr:twoCellAnchor>
    <xdr:from>
      <xdr:col>26</xdr:col>
      <xdr:colOff>169672</xdr:colOff>
      <xdr:row>144</xdr:row>
      <xdr:rowOff>85725</xdr:rowOff>
    </xdr:from>
    <xdr:to>
      <xdr:col>26</xdr:col>
      <xdr:colOff>217805</xdr:colOff>
      <xdr:row>144</xdr:row>
      <xdr:rowOff>161925</xdr:rowOff>
    </xdr:to>
    <xdr:sp macro="" textlink="">
      <xdr:nvSpPr>
        <xdr:cNvPr id="74698" name="145Graph"/>
        <xdr:cNvSpPr/>
      </xdr:nvSpPr>
      <xdr:spPr>
        <a:xfrm>
          <a:off x="15152497" y="35775900"/>
          <a:ext cx="48133"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169672</xdr:colOff>
      <xdr:row>144</xdr:row>
      <xdr:rowOff>161925</xdr:rowOff>
    </xdr:from>
    <xdr:to>
      <xdr:col>26</xdr:col>
      <xdr:colOff>217805</xdr:colOff>
      <xdr:row>144</xdr:row>
      <xdr:rowOff>200025</xdr:rowOff>
    </xdr:to>
    <xdr:sp macro="" textlink="">
      <xdr:nvSpPr>
        <xdr:cNvPr id="74699" name="145Results"/>
        <xdr:cNvSpPr/>
      </xdr:nvSpPr>
      <xdr:spPr>
        <a:xfrm>
          <a:off x="15152497" y="35852100"/>
          <a:ext cx="48133"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230378</xdr:colOff>
      <xdr:row>144</xdr:row>
      <xdr:rowOff>44450</xdr:rowOff>
    </xdr:from>
    <xdr:to>
      <xdr:col>27</xdr:col>
      <xdr:colOff>306578</xdr:colOff>
      <xdr:row>144</xdr:row>
      <xdr:rowOff>215900</xdr:rowOff>
    </xdr:to>
    <xdr:sp macro="" textlink="">
      <xdr:nvSpPr>
        <xdr:cNvPr id="74700" name="145EndPoint"/>
        <xdr:cNvSpPr txBox="1"/>
      </xdr:nvSpPr>
      <xdr:spPr>
        <a:xfrm>
          <a:off x="15213203" y="357346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12/21</a:t>
          </a:r>
          <a:endParaRPr kumimoji="1" lang="ja-JP" altLang="en-US" sz="1000">
            <a:solidFill>
              <a:srgbClr val="000000"/>
            </a:solidFill>
          </a:endParaRPr>
        </a:p>
      </xdr:txBody>
    </xdr:sp>
    <xdr:clientData/>
  </xdr:twoCellAnchor>
  <xdr:twoCellAnchor>
    <xdr:from>
      <xdr:col>26</xdr:col>
      <xdr:colOff>169672</xdr:colOff>
      <xdr:row>145</xdr:row>
      <xdr:rowOff>85725</xdr:rowOff>
    </xdr:from>
    <xdr:to>
      <xdr:col>26</xdr:col>
      <xdr:colOff>272160</xdr:colOff>
      <xdr:row>145</xdr:row>
      <xdr:rowOff>161925</xdr:rowOff>
    </xdr:to>
    <xdr:sp macro="" textlink="">
      <xdr:nvSpPr>
        <xdr:cNvPr id="74701" name="146Graph"/>
        <xdr:cNvSpPr/>
      </xdr:nvSpPr>
      <xdr:spPr>
        <a:xfrm>
          <a:off x="15152497" y="36023550"/>
          <a:ext cx="102488"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169672</xdr:colOff>
      <xdr:row>145</xdr:row>
      <xdr:rowOff>161925</xdr:rowOff>
    </xdr:from>
    <xdr:to>
      <xdr:col>26</xdr:col>
      <xdr:colOff>272160</xdr:colOff>
      <xdr:row>145</xdr:row>
      <xdr:rowOff>200025</xdr:rowOff>
    </xdr:to>
    <xdr:sp macro="" textlink="">
      <xdr:nvSpPr>
        <xdr:cNvPr id="74702" name="146Results"/>
        <xdr:cNvSpPr/>
      </xdr:nvSpPr>
      <xdr:spPr>
        <a:xfrm>
          <a:off x="15152497" y="36099750"/>
          <a:ext cx="102488"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284862</xdr:colOff>
      <xdr:row>145</xdr:row>
      <xdr:rowOff>44450</xdr:rowOff>
    </xdr:from>
    <xdr:to>
      <xdr:col>27</xdr:col>
      <xdr:colOff>361062</xdr:colOff>
      <xdr:row>145</xdr:row>
      <xdr:rowOff>215900</xdr:rowOff>
    </xdr:to>
    <xdr:sp macro="" textlink="">
      <xdr:nvSpPr>
        <xdr:cNvPr id="74703" name="146EndPoint"/>
        <xdr:cNvSpPr txBox="1"/>
      </xdr:nvSpPr>
      <xdr:spPr>
        <a:xfrm>
          <a:off x="15267687" y="359822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12/22</a:t>
          </a:r>
          <a:endParaRPr kumimoji="1" lang="ja-JP" altLang="en-US" sz="1000">
            <a:solidFill>
              <a:srgbClr val="000000"/>
            </a:solidFill>
          </a:endParaRPr>
        </a:p>
      </xdr:txBody>
    </xdr:sp>
    <xdr:clientData/>
  </xdr:twoCellAnchor>
  <xdr:twoCellAnchor>
    <xdr:from>
      <xdr:col>27</xdr:col>
      <xdr:colOff>6350</xdr:colOff>
      <xdr:row>146</xdr:row>
      <xdr:rowOff>85725</xdr:rowOff>
    </xdr:from>
    <xdr:to>
      <xdr:col>27</xdr:col>
      <xdr:colOff>54483</xdr:colOff>
      <xdr:row>146</xdr:row>
      <xdr:rowOff>161925</xdr:rowOff>
    </xdr:to>
    <xdr:sp macro="" textlink="">
      <xdr:nvSpPr>
        <xdr:cNvPr id="74704" name="147Graph"/>
        <xdr:cNvSpPr/>
      </xdr:nvSpPr>
      <xdr:spPr>
        <a:xfrm>
          <a:off x="15370175" y="36271200"/>
          <a:ext cx="48133"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224028</xdr:colOff>
      <xdr:row>146</xdr:row>
      <xdr:rowOff>161925</xdr:rowOff>
    </xdr:from>
    <xdr:to>
      <xdr:col>26</xdr:col>
      <xdr:colOff>272162</xdr:colOff>
      <xdr:row>146</xdr:row>
      <xdr:rowOff>200025</xdr:rowOff>
    </xdr:to>
    <xdr:sp macro="" textlink="">
      <xdr:nvSpPr>
        <xdr:cNvPr id="74705" name="147Results"/>
        <xdr:cNvSpPr/>
      </xdr:nvSpPr>
      <xdr:spPr>
        <a:xfrm>
          <a:off x="15206853" y="36347400"/>
          <a:ext cx="48134"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67183</xdr:colOff>
      <xdr:row>146</xdr:row>
      <xdr:rowOff>44450</xdr:rowOff>
    </xdr:from>
    <xdr:to>
      <xdr:col>28</xdr:col>
      <xdr:colOff>143383</xdr:colOff>
      <xdr:row>146</xdr:row>
      <xdr:rowOff>215900</xdr:rowOff>
    </xdr:to>
    <xdr:sp macro="" textlink="">
      <xdr:nvSpPr>
        <xdr:cNvPr id="74706" name="147EndPoint"/>
        <xdr:cNvSpPr txBox="1"/>
      </xdr:nvSpPr>
      <xdr:spPr>
        <a:xfrm>
          <a:off x="15431008" y="362299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12/25</a:t>
          </a:r>
          <a:endParaRPr kumimoji="1" lang="ja-JP" altLang="en-US" sz="1000">
            <a:solidFill>
              <a:srgbClr val="000000"/>
            </a:solidFill>
          </a:endParaRPr>
        </a:p>
      </xdr:txBody>
    </xdr:sp>
    <xdr:clientData/>
  </xdr:twoCellAnchor>
  <xdr:twoCellAnchor>
    <xdr:from>
      <xdr:col>27</xdr:col>
      <xdr:colOff>6350</xdr:colOff>
      <xdr:row>147</xdr:row>
      <xdr:rowOff>85725</xdr:rowOff>
    </xdr:from>
    <xdr:to>
      <xdr:col>27</xdr:col>
      <xdr:colOff>54483</xdr:colOff>
      <xdr:row>147</xdr:row>
      <xdr:rowOff>161925</xdr:rowOff>
    </xdr:to>
    <xdr:sp macro="" textlink="">
      <xdr:nvSpPr>
        <xdr:cNvPr id="74707" name="148Graph"/>
        <xdr:cNvSpPr/>
      </xdr:nvSpPr>
      <xdr:spPr>
        <a:xfrm>
          <a:off x="15370175" y="36518850"/>
          <a:ext cx="48133"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224028</xdr:colOff>
      <xdr:row>147</xdr:row>
      <xdr:rowOff>161925</xdr:rowOff>
    </xdr:from>
    <xdr:to>
      <xdr:col>26</xdr:col>
      <xdr:colOff>272162</xdr:colOff>
      <xdr:row>147</xdr:row>
      <xdr:rowOff>200025</xdr:rowOff>
    </xdr:to>
    <xdr:sp macro="" textlink="">
      <xdr:nvSpPr>
        <xdr:cNvPr id="74708" name="148Results"/>
        <xdr:cNvSpPr/>
      </xdr:nvSpPr>
      <xdr:spPr>
        <a:xfrm>
          <a:off x="15206853" y="36595050"/>
          <a:ext cx="48134"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67183</xdr:colOff>
      <xdr:row>147</xdr:row>
      <xdr:rowOff>44450</xdr:rowOff>
    </xdr:from>
    <xdr:to>
      <xdr:col>28</xdr:col>
      <xdr:colOff>143383</xdr:colOff>
      <xdr:row>147</xdr:row>
      <xdr:rowOff>215900</xdr:rowOff>
    </xdr:to>
    <xdr:sp macro="" textlink="">
      <xdr:nvSpPr>
        <xdr:cNvPr id="74709" name="148EndPoint"/>
        <xdr:cNvSpPr txBox="1"/>
      </xdr:nvSpPr>
      <xdr:spPr>
        <a:xfrm>
          <a:off x="15431008" y="364775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12/25</a:t>
          </a:r>
          <a:endParaRPr kumimoji="1" lang="ja-JP" altLang="en-US" sz="1000">
            <a:solidFill>
              <a:srgbClr val="000000"/>
            </a:solidFill>
          </a:endParaRPr>
        </a:p>
      </xdr:txBody>
    </xdr:sp>
    <xdr:clientData/>
  </xdr:twoCellAnchor>
  <xdr:twoCellAnchor>
    <xdr:from>
      <xdr:col>27</xdr:col>
      <xdr:colOff>6350</xdr:colOff>
      <xdr:row>148</xdr:row>
      <xdr:rowOff>85725</xdr:rowOff>
    </xdr:from>
    <xdr:to>
      <xdr:col>27</xdr:col>
      <xdr:colOff>54483</xdr:colOff>
      <xdr:row>148</xdr:row>
      <xdr:rowOff>161925</xdr:rowOff>
    </xdr:to>
    <xdr:sp macro="" textlink="">
      <xdr:nvSpPr>
        <xdr:cNvPr id="74710" name="149Graph"/>
        <xdr:cNvSpPr/>
      </xdr:nvSpPr>
      <xdr:spPr>
        <a:xfrm>
          <a:off x="15370175" y="36766500"/>
          <a:ext cx="48133"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224028</xdr:colOff>
      <xdr:row>148</xdr:row>
      <xdr:rowOff>161925</xdr:rowOff>
    </xdr:from>
    <xdr:to>
      <xdr:col>26</xdr:col>
      <xdr:colOff>272162</xdr:colOff>
      <xdr:row>148</xdr:row>
      <xdr:rowOff>200025</xdr:rowOff>
    </xdr:to>
    <xdr:sp macro="" textlink="">
      <xdr:nvSpPr>
        <xdr:cNvPr id="74711" name="149Results"/>
        <xdr:cNvSpPr/>
      </xdr:nvSpPr>
      <xdr:spPr>
        <a:xfrm>
          <a:off x="15206853" y="36842700"/>
          <a:ext cx="48134"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67183</xdr:colOff>
      <xdr:row>148</xdr:row>
      <xdr:rowOff>44450</xdr:rowOff>
    </xdr:from>
    <xdr:to>
      <xdr:col>28</xdr:col>
      <xdr:colOff>143383</xdr:colOff>
      <xdr:row>148</xdr:row>
      <xdr:rowOff>215900</xdr:rowOff>
    </xdr:to>
    <xdr:sp macro="" textlink="">
      <xdr:nvSpPr>
        <xdr:cNvPr id="74712" name="149EndPoint"/>
        <xdr:cNvSpPr txBox="1"/>
      </xdr:nvSpPr>
      <xdr:spPr>
        <a:xfrm>
          <a:off x="15431008" y="367252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12/25</a:t>
          </a:r>
          <a:endParaRPr kumimoji="1" lang="ja-JP" altLang="en-US" sz="1000">
            <a:solidFill>
              <a:srgbClr val="000000"/>
            </a:solidFill>
          </a:endParaRPr>
        </a:p>
      </xdr:txBody>
    </xdr:sp>
    <xdr:clientData/>
  </xdr:twoCellAnchor>
  <xdr:twoCellAnchor>
    <xdr:from>
      <xdr:col>27</xdr:col>
      <xdr:colOff>60833</xdr:colOff>
      <xdr:row>149</xdr:row>
      <xdr:rowOff>85725</xdr:rowOff>
    </xdr:from>
    <xdr:to>
      <xdr:col>27</xdr:col>
      <xdr:colOff>108967</xdr:colOff>
      <xdr:row>149</xdr:row>
      <xdr:rowOff>161925</xdr:rowOff>
    </xdr:to>
    <xdr:sp macro="" textlink="">
      <xdr:nvSpPr>
        <xdr:cNvPr id="74713" name="150Graph"/>
        <xdr:cNvSpPr/>
      </xdr:nvSpPr>
      <xdr:spPr>
        <a:xfrm>
          <a:off x="15424658" y="37014150"/>
          <a:ext cx="48134"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6350</xdr:colOff>
      <xdr:row>149</xdr:row>
      <xdr:rowOff>161925</xdr:rowOff>
    </xdr:from>
    <xdr:to>
      <xdr:col>27</xdr:col>
      <xdr:colOff>54483</xdr:colOff>
      <xdr:row>149</xdr:row>
      <xdr:rowOff>200025</xdr:rowOff>
    </xdr:to>
    <xdr:sp macro="" textlink="">
      <xdr:nvSpPr>
        <xdr:cNvPr id="74714" name="150Results"/>
        <xdr:cNvSpPr/>
      </xdr:nvSpPr>
      <xdr:spPr>
        <a:xfrm>
          <a:off x="15370175" y="37090350"/>
          <a:ext cx="48133"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121538</xdr:colOff>
      <xdr:row>149</xdr:row>
      <xdr:rowOff>44450</xdr:rowOff>
    </xdr:from>
    <xdr:to>
      <xdr:col>28</xdr:col>
      <xdr:colOff>197738</xdr:colOff>
      <xdr:row>149</xdr:row>
      <xdr:rowOff>215900</xdr:rowOff>
    </xdr:to>
    <xdr:sp macro="" textlink="">
      <xdr:nvSpPr>
        <xdr:cNvPr id="74715" name="150EndPoint"/>
        <xdr:cNvSpPr txBox="1"/>
      </xdr:nvSpPr>
      <xdr:spPr>
        <a:xfrm>
          <a:off x="15485363" y="369728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12/26</a:t>
          </a:r>
          <a:endParaRPr kumimoji="1" lang="ja-JP" altLang="en-US" sz="1000">
            <a:solidFill>
              <a:srgbClr val="000000"/>
            </a:solidFill>
          </a:endParaRPr>
        </a:p>
      </xdr:txBody>
    </xdr:sp>
    <xdr:clientData/>
  </xdr:twoCellAnchor>
  <xdr:twoCellAnchor>
    <xdr:from>
      <xdr:col>27</xdr:col>
      <xdr:colOff>60833</xdr:colOff>
      <xdr:row>150</xdr:row>
      <xdr:rowOff>85725</xdr:rowOff>
    </xdr:from>
    <xdr:to>
      <xdr:col>27</xdr:col>
      <xdr:colOff>108967</xdr:colOff>
      <xdr:row>150</xdr:row>
      <xdr:rowOff>161925</xdr:rowOff>
    </xdr:to>
    <xdr:sp macro="" textlink="">
      <xdr:nvSpPr>
        <xdr:cNvPr id="74716" name="151Graph"/>
        <xdr:cNvSpPr/>
      </xdr:nvSpPr>
      <xdr:spPr>
        <a:xfrm>
          <a:off x="15424658" y="37261800"/>
          <a:ext cx="48134"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6350</xdr:colOff>
      <xdr:row>150</xdr:row>
      <xdr:rowOff>161925</xdr:rowOff>
    </xdr:from>
    <xdr:to>
      <xdr:col>27</xdr:col>
      <xdr:colOff>54483</xdr:colOff>
      <xdr:row>150</xdr:row>
      <xdr:rowOff>200025</xdr:rowOff>
    </xdr:to>
    <xdr:sp macro="" textlink="">
      <xdr:nvSpPr>
        <xdr:cNvPr id="74717" name="151Results"/>
        <xdr:cNvSpPr/>
      </xdr:nvSpPr>
      <xdr:spPr>
        <a:xfrm>
          <a:off x="15370175" y="37338000"/>
          <a:ext cx="48133"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121538</xdr:colOff>
      <xdr:row>150</xdr:row>
      <xdr:rowOff>44450</xdr:rowOff>
    </xdr:from>
    <xdr:to>
      <xdr:col>28</xdr:col>
      <xdr:colOff>197738</xdr:colOff>
      <xdr:row>150</xdr:row>
      <xdr:rowOff>215900</xdr:rowOff>
    </xdr:to>
    <xdr:sp macro="" textlink="">
      <xdr:nvSpPr>
        <xdr:cNvPr id="74718" name="151EndPoint"/>
        <xdr:cNvSpPr txBox="1"/>
      </xdr:nvSpPr>
      <xdr:spPr>
        <a:xfrm>
          <a:off x="15485363" y="372205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12/26</a:t>
          </a:r>
          <a:endParaRPr kumimoji="1" lang="ja-JP" altLang="en-US" sz="1000">
            <a:solidFill>
              <a:srgbClr val="000000"/>
            </a:solidFill>
          </a:endParaRPr>
        </a:p>
      </xdr:txBody>
    </xdr:sp>
    <xdr:clientData/>
  </xdr:twoCellAnchor>
  <xdr:twoCellAnchor>
    <xdr:from>
      <xdr:col>27</xdr:col>
      <xdr:colOff>115188</xdr:colOff>
      <xdr:row>151</xdr:row>
      <xdr:rowOff>85725</xdr:rowOff>
    </xdr:from>
    <xdr:to>
      <xdr:col>27</xdr:col>
      <xdr:colOff>163322</xdr:colOff>
      <xdr:row>151</xdr:row>
      <xdr:rowOff>161925</xdr:rowOff>
    </xdr:to>
    <xdr:sp macro="" textlink="">
      <xdr:nvSpPr>
        <xdr:cNvPr id="74719" name="152Graph"/>
        <xdr:cNvSpPr/>
      </xdr:nvSpPr>
      <xdr:spPr>
        <a:xfrm>
          <a:off x="15479013" y="37509450"/>
          <a:ext cx="48134"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6350</xdr:colOff>
      <xdr:row>151</xdr:row>
      <xdr:rowOff>161925</xdr:rowOff>
    </xdr:from>
    <xdr:to>
      <xdr:col>27</xdr:col>
      <xdr:colOff>54483</xdr:colOff>
      <xdr:row>151</xdr:row>
      <xdr:rowOff>200025</xdr:rowOff>
    </xdr:to>
    <xdr:sp macro="" textlink="">
      <xdr:nvSpPr>
        <xdr:cNvPr id="74720" name="152Results"/>
        <xdr:cNvSpPr/>
      </xdr:nvSpPr>
      <xdr:spPr>
        <a:xfrm>
          <a:off x="15370175" y="37585650"/>
          <a:ext cx="48133"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176022</xdr:colOff>
      <xdr:row>151</xdr:row>
      <xdr:rowOff>44450</xdr:rowOff>
    </xdr:from>
    <xdr:to>
      <xdr:col>28</xdr:col>
      <xdr:colOff>252222</xdr:colOff>
      <xdr:row>151</xdr:row>
      <xdr:rowOff>215900</xdr:rowOff>
    </xdr:to>
    <xdr:sp macro="" textlink="">
      <xdr:nvSpPr>
        <xdr:cNvPr id="74721" name="152EndPoint"/>
        <xdr:cNvSpPr txBox="1"/>
      </xdr:nvSpPr>
      <xdr:spPr>
        <a:xfrm>
          <a:off x="15539847" y="374681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12/27</a:t>
          </a:r>
          <a:endParaRPr kumimoji="1" lang="ja-JP" altLang="en-US" sz="1000">
            <a:solidFill>
              <a:srgbClr val="000000"/>
            </a:solidFill>
          </a:endParaRPr>
        </a:p>
      </xdr:txBody>
    </xdr:sp>
    <xdr:clientData/>
  </xdr:twoCellAnchor>
  <xdr:twoCellAnchor>
    <xdr:from>
      <xdr:col>29</xdr:col>
      <xdr:colOff>60833</xdr:colOff>
      <xdr:row>152</xdr:row>
      <xdr:rowOff>0</xdr:rowOff>
    </xdr:from>
    <xdr:to>
      <xdr:col>29</xdr:col>
      <xdr:colOff>217805</xdr:colOff>
      <xdr:row>153</xdr:row>
      <xdr:rowOff>0</xdr:rowOff>
    </xdr:to>
    <xdr:sp macro="" textlink="">
      <xdr:nvSpPr>
        <xdr:cNvPr id="74722" name="153Graph"/>
        <xdr:cNvSpPr/>
      </xdr:nvSpPr>
      <xdr:spPr>
        <a:xfrm>
          <a:off x="16186658" y="37671375"/>
          <a:ext cx="156972" cy="247650"/>
        </a:xfrm>
        <a:prstGeom prst="rect">
          <a:avLst/>
        </a:prstGeom>
        <a:gradFill flip="none" rotWithShape="1">
          <a:gsLst>
            <a:gs pos="0">
              <a:srgbClr val="4C6680"/>
            </a:gs>
            <a:gs pos="50000">
              <a:srgbClr val="FFFFFF"/>
            </a:gs>
            <a:gs pos="100000">
              <a:srgbClr val="CCE6FF"/>
            </a:gs>
          </a:gsLst>
          <a:lin ang="5400000" scaled="1"/>
          <a:tileRect/>
        </a:gra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kumimoji="1" lang="ja-JP" altLang="en-US" sz="1000">
              <a:solidFill>
                <a:srgbClr val="000000"/>
              </a:solidFill>
            </a:rPr>
            <a:t>汎用データダウンロード</a:t>
          </a:r>
          <a:r>
            <a:rPr kumimoji="1" lang="en-US" altLang="ja-JP" sz="1000">
              <a:solidFill>
                <a:srgbClr val="000000"/>
              </a:solidFill>
            </a:rPr>
            <a:t>(1/9</a:t>
          </a:r>
          <a:r>
            <a:rPr kumimoji="1" lang="ja-JP" altLang="en-US" sz="1000">
              <a:solidFill>
                <a:srgbClr val="000000"/>
              </a:solidFill>
            </a:rPr>
            <a:t>～</a:t>
          </a:r>
          <a:r>
            <a:rPr kumimoji="1" lang="en-US" altLang="ja-JP" sz="1000">
              <a:solidFill>
                <a:srgbClr val="000000"/>
              </a:solidFill>
            </a:rPr>
            <a:t>1/11)</a:t>
          </a:r>
          <a:endParaRPr kumimoji="1" lang="ja-JP" altLang="en-US" sz="1000">
            <a:solidFill>
              <a:srgbClr val="000000"/>
            </a:solidFill>
          </a:endParaRPr>
        </a:p>
      </xdr:txBody>
    </xdr:sp>
    <xdr:clientData/>
  </xdr:twoCellAnchor>
  <xdr:twoCellAnchor>
    <xdr:from>
      <xdr:col>29</xdr:col>
      <xdr:colOff>60833</xdr:colOff>
      <xdr:row>153</xdr:row>
      <xdr:rowOff>85725</xdr:rowOff>
    </xdr:from>
    <xdr:to>
      <xdr:col>29</xdr:col>
      <xdr:colOff>108967</xdr:colOff>
      <xdr:row>153</xdr:row>
      <xdr:rowOff>161925</xdr:rowOff>
    </xdr:to>
    <xdr:sp macro="" textlink="">
      <xdr:nvSpPr>
        <xdr:cNvPr id="74723" name="154Graph"/>
        <xdr:cNvSpPr/>
      </xdr:nvSpPr>
      <xdr:spPr>
        <a:xfrm>
          <a:off x="16186658" y="38004750"/>
          <a:ext cx="48134"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60833</xdr:colOff>
      <xdr:row>153</xdr:row>
      <xdr:rowOff>161925</xdr:rowOff>
    </xdr:from>
    <xdr:to>
      <xdr:col>27</xdr:col>
      <xdr:colOff>108967</xdr:colOff>
      <xdr:row>153</xdr:row>
      <xdr:rowOff>200025</xdr:rowOff>
    </xdr:to>
    <xdr:sp macro="" textlink="">
      <xdr:nvSpPr>
        <xdr:cNvPr id="74724" name="154Results"/>
        <xdr:cNvSpPr/>
      </xdr:nvSpPr>
      <xdr:spPr>
        <a:xfrm>
          <a:off x="15424658" y="38080950"/>
          <a:ext cx="48134"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121538</xdr:colOff>
      <xdr:row>153</xdr:row>
      <xdr:rowOff>44450</xdr:rowOff>
    </xdr:from>
    <xdr:to>
      <xdr:col>30</xdr:col>
      <xdr:colOff>197738</xdr:colOff>
      <xdr:row>153</xdr:row>
      <xdr:rowOff>215900</xdr:rowOff>
    </xdr:to>
    <xdr:sp macro="" textlink="">
      <xdr:nvSpPr>
        <xdr:cNvPr id="74725" name="154EndPoint"/>
        <xdr:cNvSpPr txBox="1"/>
      </xdr:nvSpPr>
      <xdr:spPr>
        <a:xfrm>
          <a:off x="16247363" y="379634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1/9</a:t>
          </a:r>
          <a:endParaRPr kumimoji="1" lang="ja-JP" altLang="en-US" sz="1000">
            <a:solidFill>
              <a:srgbClr val="000000"/>
            </a:solidFill>
          </a:endParaRPr>
        </a:p>
      </xdr:txBody>
    </xdr:sp>
    <xdr:clientData/>
  </xdr:twoCellAnchor>
  <xdr:twoCellAnchor>
    <xdr:from>
      <xdr:col>29</xdr:col>
      <xdr:colOff>60833</xdr:colOff>
      <xdr:row>154</xdr:row>
      <xdr:rowOff>85725</xdr:rowOff>
    </xdr:from>
    <xdr:to>
      <xdr:col>29</xdr:col>
      <xdr:colOff>163322</xdr:colOff>
      <xdr:row>154</xdr:row>
      <xdr:rowOff>161925</xdr:rowOff>
    </xdr:to>
    <xdr:sp macro="" textlink="">
      <xdr:nvSpPr>
        <xdr:cNvPr id="74726" name="155Graph"/>
        <xdr:cNvSpPr/>
      </xdr:nvSpPr>
      <xdr:spPr>
        <a:xfrm>
          <a:off x="16186658" y="38252400"/>
          <a:ext cx="102489"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115188</xdr:colOff>
      <xdr:row>154</xdr:row>
      <xdr:rowOff>161925</xdr:rowOff>
    </xdr:from>
    <xdr:to>
      <xdr:col>27</xdr:col>
      <xdr:colOff>163322</xdr:colOff>
      <xdr:row>154</xdr:row>
      <xdr:rowOff>200025</xdr:rowOff>
    </xdr:to>
    <xdr:sp macro="" textlink="">
      <xdr:nvSpPr>
        <xdr:cNvPr id="74727" name="155Results"/>
        <xdr:cNvSpPr/>
      </xdr:nvSpPr>
      <xdr:spPr>
        <a:xfrm>
          <a:off x="15479013" y="38328600"/>
          <a:ext cx="48134"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176022</xdr:colOff>
      <xdr:row>154</xdr:row>
      <xdr:rowOff>44450</xdr:rowOff>
    </xdr:from>
    <xdr:to>
      <xdr:col>30</xdr:col>
      <xdr:colOff>252222</xdr:colOff>
      <xdr:row>154</xdr:row>
      <xdr:rowOff>215900</xdr:rowOff>
    </xdr:to>
    <xdr:sp macro="" textlink="">
      <xdr:nvSpPr>
        <xdr:cNvPr id="74728" name="155EndPoint"/>
        <xdr:cNvSpPr txBox="1"/>
      </xdr:nvSpPr>
      <xdr:spPr>
        <a:xfrm>
          <a:off x="16301847" y="382111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1/10</a:t>
          </a:r>
          <a:endParaRPr kumimoji="1" lang="ja-JP" altLang="en-US" sz="1000">
            <a:solidFill>
              <a:srgbClr val="000000"/>
            </a:solidFill>
          </a:endParaRPr>
        </a:p>
      </xdr:txBody>
    </xdr:sp>
    <xdr:clientData/>
  </xdr:twoCellAnchor>
  <xdr:twoCellAnchor>
    <xdr:from>
      <xdr:col>29</xdr:col>
      <xdr:colOff>60833</xdr:colOff>
      <xdr:row>155</xdr:row>
      <xdr:rowOff>85725</xdr:rowOff>
    </xdr:from>
    <xdr:to>
      <xdr:col>29</xdr:col>
      <xdr:colOff>163322</xdr:colOff>
      <xdr:row>155</xdr:row>
      <xdr:rowOff>161925</xdr:rowOff>
    </xdr:to>
    <xdr:sp macro="" textlink="">
      <xdr:nvSpPr>
        <xdr:cNvPr id="74729" name="156Graph"/>
        <xdr:cNvSpPr/>
      </xdr:nvSpPr>
      <xdr:spPr>
        <a:xfrm>
          <a:off x="16186658" y="38500050"/>
          <a:ext cx="102489"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115188</xdr:colOff>
      <xdr:row>155</xdr:row>
      <xdr:rowOff>161925</xdr:rowOff>
    </xdr:from>
    <xdr:to>
      <xdr:col>27</xdr:col>
      <xdr:colOff>163322</xdr:colOff>
      <xdr:row>155</xdr:row>
      <xdr:rowOff>200025</xdr:rowOff>
    </xdr:to>
    <xdr:sp macro="" textlink="">
      <xdr:nvSpPr>
        <xdr:cNvPr id="74730" name="156Results"/>
        <xdr:cNvSpPr/>
      </xdr:nvSpPr>
      <xdr:spPr>
        <a:xfrm>
          <a:off x="15479013" y="38576250"/>
          <a:ext cx="48134"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176022</xdr:colOff>
      <xdr:row>155</xdr:row>
      <xdr:rowOff>44450</xdr:rowOff>
    </xdr:from>
    <xdr:to>
      <xdr:col>30</xdr:col>
      <xdr:colOff>252222</xdr:colOff>
      <xdr:row>155</xdr:row>
      <xdr:rowOff>215900</xdr:rowOff>
    </xdr:to>
    <xdr:sp macro="" textlink="">
      <xdr:nvSpPr>
        <xdr:cNvPr id="74731" name="156EndPoint"/>
        <xdr:cNvSpPr txBox="1"/>
      </xdr:nvSpPr>
      <xdr:spPr>
        <a:xfrm>
          <a:off x="16301847" y="384587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1/10</a:t>
          </a:r>
          <a:endParaRPr kumimoji="1" lang="ja-JP" altLang="en-US" sz="1000">
            <a:solidFill>
              <a:srgbClr val="000000"/>
            </a:solidFill>
          </a:endParaRPr>
        </a:p>
      </xdr:txBody>
    </xdr:sp>
    <xdr:clientData/>
  </xdr:twoCellAnchor>
  <xdr:twoCellAnchor>
    <xdr:from>
      <xdr:col>30</xdr:col>
      <xdr:colOff>117475</xdr:colOff>
      <xdr:row>154</xdr:row>
      <xdr:rowOff>79277</xdr:rowOff>
    </xdr:from>
    <xdr:to>
      <xdr:col>32</xdr:col>
      <xdr:colOff>337410</xdr:colOff>
      <xdr:row>154</xdr:row>
      <xdr:rowOff>238027</xdr:rowOff>
    </xdr:to>
    <xdr:sp macro="" textlink="">
      <xdr:nvSpPr>
        <xdr:cNvPr id="74732" name="156Comment"/>
        <xdr:cNvSpPr txBox="1"/>
      </xdr:nvSpPr>
      <xdr:spPr>
        <a:xfrm>
          <a:off x="16624300" y="38245952"/>
          <a:ext cx="981935" cy="158750"/>
        </a:xfrm>
        <a:prstGeom prst="rect">
          <a:avLst/>
        </a:prstGeom>
        <a:solidFill>
          <a:schemeClr val="lt1">
            <a:alpha val="10000"/>
          </a:scheme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spAutoFit/>
        </a:bodyPr>
        <a:lstStyle/>
        <a:p>
          <a:pPr algn="l"/>
          <a:r>
            <a:rPr kumimoji="1" lang="ja-JP" altLang="en-US" sz="900" b="0" i="0" u="none">
              <a:latin typeface="Meiryo UI"/>
            </a:rPr>
            <a:t>画面要件シート・
入出力定義書シート
</a:t>
          </a:r>
        </a:p>
      </xdr:txBody>
    </xdr:sp>
    <xdr:clientData/>
  </xdr:twoCellAnchor>
  <xdr:twoCellAnchor>
    <xdr:from>
      <xdr:col>29</xdr:col>
      <xdr:colOff>60833</xdr:colOff>
      <xdr:row>156</xdr:row>
      <xdr:rowOff>85725</xdr:rowOff>
    </xdr:from>
    <xdr:to>
      <xdr:col>29</xdr:col>
      <xdr:colOff>108967</xdr:colOff>
      <xdr:row>156</xdr:row>
      <xdr:rowOff>161925</xdr:rowOff>
    </xdr:to>
    <xdr:sp macro="" textlink="">
      <xdr:nvSpPr>
        <xdr:cNvPr id="74733" name="157Graph"/>
        <xdr:cNvSpPr/>
      </xdr:nvSpPr>
      <xdr:spPr>
        <a:xfrm>
          <a:off x="16186658" y="38747700"/>
          <a:ext cx="48134"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115188</xdr:colOff>
      <xdr:row>156</xdr:row>
      <xdr:rowOff>161925</xdr:rowOff>
    </xdr:from>
    <xdr:to>
      <xdr:col>27</xdr:col>
      <xdr:colOff>163322</xdr:colOff>
      <xdr:row>156</xdr:row>
      <xdr:rowOff>200025</xdr:rowOff>
    </xdr:to>
    <xdr:sp macro="" textlink="">
      <xdr:nvSpPr>
        <xdr:cNvPr id="74734" name="157Results"/>
        <xdr:cNvSpPr/>
      </xdr:nvSpPr>
      <xdr:spPr>
        <a:xfrm>
          <a:off x="15479013" y="38823900"/>
          <a:ext cx="48134"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121538</xdr:colOff>
      <xdr:row>156</xdr:row>
      <xdr:rowOff>44450</xdr:rowOff>
    </xdr:from>
    <xdr:to>
      <xdr:col>30</xdr:col>
      <xdr:colOff>197738</xdr:colOff>
      <xdr:row>156</xdr:row>
      <xdr:rowOff>215900</xdr:rowOff>
    </xdr:to>
    <xdr:sp macro="" textlink="">
      <xdr:nvSpPr>
        <xdr:cNvPr id="74735" name="157EndPoint"/>
        <xdr:cNvSpPr txBox="1"/>
      </xdr:nvSpPr>
      <xdr:spPr>
        <a:xfrm>
          <a:off x="16247363" y="387064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1/9</a:t>
          </a:r>
          <a:endParaRPr kumimoji="1" lang="ja-JP" altLang="en-US" sz="1000">
            <a:solidFill>
              <a:srgbClr val="000000"/>
            </a:solidFill>
          </a:endParaRPr>
        </a:p>
      </xdr:txBody>
    </xdr:sp>
    <xdr:clientData/>
  </xdr:twoCellAnchor>
  <xdr:twoCellAnchor>
    <xdr:from>
      <xdr:col>29</xdr:col>
      <xdr:colOff>115188</xdr:colOff>
      <xdr:row>157</xdr:row>
      <xdr:rowOff>85725</xdr:rowOff>
    </xdr:from>
    <xdr:to>
      <xdr:col>29</xdr:col>
      <xdr:colOff>163322</xdr:colOff>
      <xdr:row>157</xdr:row>
      <xdr:rowOff>161925</xdr:rowOff>
    </xdr:to>
    <xdr:sp macro="" textlink="">
      <xdr:nvSpPr>
        <xdr:cNvPr id="74736" name="158Graph"/>
        <xdr:cNvSpPr/>
      </xdr:nvSpPr>
      <xdr:spPr>
        <a:xfrm>
          <a:off x="16241013" y="38995350"/>
          <a:ext cx="48134"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115188</xdr:colOff>
      <xdr:row>157</xdr:row>
      <xdr:rowOff>161925</xdr:rowOff>
    </xdr:from>
    <xdr:to>
      <xdr:col>27</xdr:col>
      <xdr:colOff>163322</xdr:colOff>
      <xdr:row>157</xdr:row>
      <xdr:rowOff>200025</xdr:rowOff>
    </xdr:to>
    <xdr:sp macro="" textlink="">
      <xdr:nvSpPr>
        <xdr:cNvPr id="74737" name="158Results"/>
        <xdr:cNvSpPr/>
      </xdr:nvSpPr>
      <xdr:spPr>
        <a:xfrm>
          <a:off x="15479013" y="39071550"/>
          <a:ext cx="48134"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176022</xdr:colOff>
      <xdr:row>157</xdr:row>
      <xdr:rowOff>44450</xdr:rowOff>
    </xdr:from>
    <xdr:to>
      <xdr:col>30</xdr:col>
      <xdr:colOff>252222</xdr:colOff>
      <xdr:row>157</xdr:row>
      <xdr:rowOff>215900</xdr:rowOff>
    </xdr:to>
    <xdr:sp macro="" textlink="">
      <xdr:nvSpPr>
        <xdr:cNvPr id="74738" name="158EndPoint"/>
        <xdr:cNvSpPr txBox="1"/>
      </xdr:nvSpPr>
      <xdr:spPr>
        <a:xfrm>
          <a:off x="16301847" y="389540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1/10</a:t>
          </a:r>
          <a:endParaRPr kumimoji="1" lang="ja-JP" altLang="en-US" sz="1000">
            <a:solidFill>
              <a:srgbClr val="000000"/>
            </a:solidFill>
          </a:endParaRPr>
        </a:p>
      </xdr:txBody>
    </xdr:sp>
    <xdr:clientData/>
  </xdr:twoCellAnchor>
  <xdr:twoCellAnchor>
    <xdr:from>
      <xdr:col>29</xdr:col>
      <xdr:colOff>169672</xdr:colOff>
      <xdr:row>158</xdr:row>
      <xdr:rowOff>85725</xdr:rowOff>
    </xdr:from>
    <xdr:to>
      <xdr:col>29</xdr:col>
      <xdr:colOff>217805</xdr:colOff>
      <xdr:row>158</xdr:row>
      <xdr:rowOff>161925</xdr:rowOff>
    </xdr:to>
    <xdr:sp macro="" textlink="">
      <xdr:nvSpPr>
        <xdr:cNvPr id="74739" name="159Graph"/>
        <xdr:cNvSpPr/>
      </xdr:nvSpPr>
      <xdr:spPr>
        <a:xfrm>
          <a:off x="16295497" y="39243000"/>
          <a:ext cx="48133"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60833</xdr:colOff>
      <xdr:row>158</xdr:row>
      <xdr:rowOff>161925</xdr:rowOff>
    </xdr:from>
    <xdr:to>
      <xdr:col>29</xdr:col>
      <xdr:colOff>108967</xdr:colOff>
      <xdr:row>158</xdr:row>
      <xdr:rowOff>200025</xdr:rowOff>
    </xdr:to>
    <xdr:sp macro="" textlink="">
      <xdr:nvSpPr>
        <xdr:cNvPr id="74740" name="159Results"/>
        <xdr:cNvSpPr/>
      </xdr:nvSpPr>
      <xdr:spPr>
        <a:xfrm>
          <a:off x="16186658" y="39319200"/>
          <a:ext cx="48134"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230378</xdr:colOff>
      <xdr:row>158</xdr:row>
      <xdr:rowOff>44450</xdr:rowOff>
    </xdr:from>
    <xdr:to>
      <xdr:col>30</xdr:col>
      <xdr:colOff>306578</xdr:colOff>
      <xdr:row>158</xdr:row>
      <xdr:rowOff>215900</xdr:rowOff>
    </xdr:to>
    <xdr:sp macro="" textlink="">
      <xdr:nvSpPr>
        <xdr:cNvPr id="74741" name="159EndPoint"/>
        <xdr:cNvSpPr txBox="1"/>
      </xdr:nvSpPr>
      <xdr:spPr>
        <a:xfrm>
          <a:off x="16356203" y="392017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1/11</a:t>
          </a:r>
          <a:endParaRPr kumimoji="1" lang="ja-JP" altLang="en-US" sz="1000">
            <a:solidFill>
              <a:srgbClr val="000000"/>
            </a:solidFill>
          </a:endParaRPr>
        </a:p>
      </xdr:txBody>
    </xdr:sp>
    <xdr:clientData/>
  </xdr:twoCellAnchor>
  <xdr:twoCellAnchor>
    <xdr:from>
      <xdr:col>29</xdr:col>
      <xdr:colOff>169672</xdr:colOff>
      <xdr:row>159</xdr:row>
      <xdr:rowOff>85725</xdr:rowOff>
    </xdr:from>
    <xdr:to>
      <xdr:col>29</xdr:col>
      <xdr:colOff>217805</xdr:colOff>
      <xdr:row>159</xdr:row>
      <xdr:rowOff>161925</xdr:rowOff>
    </xdr:to>
    <xdr:sp macro="" textlink="">
      <xdr:nvSpPr>
        <xdr:cNvPr id="74742" name="160Graph"/>
        <xdr:cNvSpPr/>
      </xdr:nvSpPr>
      <xdr:spPr>
        <a:xfrm>
          <a:off x="16295497" y="39490650"/>
          <a:ext cx="48133"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60833</xdr:colOff>
      <xdr:row>159</xdr:row>
      <xdr:rowOff>161925</xdr:rowOff>
    </xdr:from>
    <xdr:to>
      <xdr:col>29</xdr:col>
      <xdr:colOff>108967</xdr:colOff>
      <xdr:row>159</xdr:row>
      <xdr:rowOff>200025</xdr:rowOff>
    </xdr:to>
    <xdr:sp macro="" textlink="">
      <xdr:nvSpPr>
        <xdr:cNvPr id="74743" name="160Results"/>
        <xdr:cNvSpPr/>
      </xdr:nvSpPr>
      <xdr:spPr>
        <a:xfrm>
          <a:off x="16186658" y="39566850"/>
          <a:ext cx="48134"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230378</xdr:colOff>
      <xdr:row>159</xdr:row>
      <xdr:rowOff>44450</xdr:rowOff>
    </xdr:from>
    <xdr:to>
      <xdr:col>30</xdr:col>
      <xdr:colOff>306578</xdr:colOff>
      <xdr:row>159</xdr:row>
      <xdr:rowOff>215900</xdr:rowOff>
    </xdr:to>
    <xdr:sp macro="" textlink="">
      <xdr:nvSpPr>
        <xdr:cNvPr id="74744" name="160EndPoint"/>
        <xdr:cNvSpPr txBox="1"/>
      </xdr:nvSpPr>
      <xdr:spPr>
        <a:xfrm>
          <a:off x="16356203" y="394493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1/11</a:t>
          </a:r>
          <a:endParaRPr kumimoji="1" lang="ja-JP" altLang="en-US" sz="1000">
            <a:solidFill>
              <a:srgbClr val="000000"/>
            </a:solidFill>
          </a:endParaRPr>
        </a:p>
      </xdr:txBody>
    </xdr:sp>
    <xdr:clientData/>
  </xdr:twoCellAnchor>
  <xdr:twoCellAnchor>
    <xdr:from>
      <xdr:col>29</xdr:col>
      <xdr:colOff>169672</xdr:colOff>
      <xdr:row>160</xdr:row>
      <xdr:rowOff>85725</xdr:rowOff>
    </xdr:from>
    <xdr:to>
      <xdr:col>29</xdr:col>
      <xdr:colOff>217805</xdr:colOff>
      <xdr:row>160</xdr:row>
      <xdr:rowOff>161925</xdr:rowOff>
    </xdr:to>
    <xdr:sp macro="" textlink="">
      <xdr:nvSpPr>
        <xdr:cNvPr id="74745" name="161Graph"/>
        <xdr:cNvSpPr/>
      </xdr:nvSpPr>
      <xdr:spPr>
        <a:xfrm>
          <a:off x="16295497" y="39738300"/>
          <a:ext cx="48133"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60833</xdr:colOff>
      <xdr:row>160</xdr:row>
      <xdr:rowOff>161925</xdr:rowOff>
    </xdr:from>
    <xdr:to>
      <xdr:col>29</xdr:col>
      <xdr:colOff>108967</xdr:colOff>
      <xdr:row>160</xdr:row>
      <xdr:rowOff>200025</xdr:rowOff>
    </xdr:to>
    <xdr:sp macro="" textlink="">
      <xdr:nvSpPr>
        <xdr:cNvPr id="74746" name="161Results"/>
        <xdr:cNvSpPr/>
      </xdr:nvSpPr>
      <xdr:spPr>
        <a:xfrm>
          <a:off x="16186658" y="39814500"/>
          <a:ext cx="48134"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230378</xdr:colOff>
      <xdr:row>160</xdr:row>
      <xdr:rowOff>44450</xdr:rowOff>
    </xdr:from>
    <xdr:to>
      <xdr:col>30</xdr:col>
      <xdr:colOff>306578</xdr:colOff>
      <xdr:row>160</xdr:row>
      <xdr:rowOff>215900</xdr:rowOff>
    </xdr:to>
    <xdr:sp macro="" textlink="">
      <xdr:nvSpPr>
        <xdr:cNvPr id="74747" name="161EndPoint"/>
        <xdr:cNvSpPr txBox="1"/>
      </xdr:nvSpPr>
      <xdr:spPr>
        <a:xfrm>
          <a:off x="16356203" y="396970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1/11</a:t>
          </a:r>
          <a:endParaRPr kumimoji="1" lang="ja-JP" altLang="en-US" sz="1000">
            <a:solidFill>
              <a:srgbClr val="000000"/>
            </a:solidFill>
          </a:endParaRPr>
        </a:p>
      </xdr:txBody>
    </xdr:sp>
    <xdr:clientData/>
  </xdr:twoCellAnchor>
  <xdr:twoCellAnchor>
    <xdr:from>
      <xdr:col>29</xdr:col>
      <xdr:colOff>169672</xdr:colOff>
      <xdr:row>161</xdr:row>
      <xdr:rowOff>0</xdr:rowOff>
    </xdr:from>
    <xdr:to>
      <xdr:col>30</xdr:col>
      <xdr:colOff>217805</xdr:colOff>
      <xdr:row>162</xdr:row>
      <xdr:rowOff>0</xdr:rowOff>
    </xdr:to>
    <xdr:sp macro="" textlink="">
      <xdr:nvSpPr>
        <xdr:cNvPr id="74748" name="162Graph"/>
        <xdr:cNvSpPr/>
      </xdr:nvSpPr>
      <xdr:spPr>
        <a:xfrm>
          <a:off x="16295497" y="39900225"/>
          <a:ext cx="429133" cy="247650"/>
        </a:xfrm>
        <a:prstGeom prst="rect">
          <a:avLst/>
        </a:prstGeom>
        <a:gradFill flip="none" rotWithShape="1">
          <a:gsLst>
            <a:gs pos="0">
              <a:srgbClr val="4C6680"/>
            </a:gs>
            <a:gs pos="50000">
              <a:srgbClr val="FFFFFF"/>
            </a:gs>
            <a:gs pos="100000">
              <a:srgbClr val="CCE6FF"/>
            </a:gs>
          </a:gsLst>
          <a:lin ang="5400000" scaled="1"/>
          <a:tileRect/>
        </a:gra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kumimoji="1" lang="ja-JP" altLang="en-US" sz="1000">
              <a:solidFill>
                <a:srgbClr val="000000"/>
              </a:solidFill>
            </a:rPr>
            <a:t>特売用メニュー</a:t>
          </a:r>
          <a:r>
            <a:rPr kumimoji="1" lang="en-US" altLang="ja-JP" sz="1000">
              <a:solidFill>
                <a:srgbClr val="000000"/>
              </a:solidFill>
            </a:rPr>
            <a:t>(1/11</a:t>
          </a:r>
          <a:r>
            <a:rPr kumimoji="1" lang="ja-JP" altLang="en-US" sz="1000">
              <a:solidFill>
                <a:srgbClr val="000000"/>
              </a:solidFill>
            </a:rPr>
            <a:t>～</a:t>
          </a:r>
          <a:r>
            <a:rPr kumimoji="1" lang="en-US" altLang="ja-JP" sz="1000">
              <a:solidFill>
                <a:srgbClr val="000000"/>
              </a:solidFill>
            </a:rPr>
            <a:t>1/18)</a:t>
          </a:r>
          <a:endParaRPr kumimoji="1" lang="ja-JP" altLang="en-US" sz="1000">
            <a:solidFill>
              <a:srgbClr val="000000"/>
            </a:solidFill>
          </a:endParaRPr>
        </a:p>
      </xdr:txBody>
    </xdr:sp>
    <xdr:clientData/>
  </xdr:twoCellAnchor>
  <xdr:twoCellAnchor>
    <xdr:from>
      <xdr:col>29</xdr:col>
      <xdr:colOff>169672</xdr:colOff>
      <xdr:row>162</xdr:row>
      <xdr:rowOff>85725</xdr:rowOff>
    </xdr:from>
    <xdr:to>
      <xdr:col>29</xdr:col>
      <xdr:colOff>217805</xdr:colOff>
      <xdr:row>162</xdr:row>
      <xdr:rowOff>161925</xdr:rowOff>
    </xdr:to>
    <xdr:sp macro="" textlink="">
      <xdr:nvSpPr>
        <xdr:cNvPr id="74749" name="163Graph"/>
        <xdr:cNvSpPr/>
      </xdr:nvSpPr>
      <xdr:spPr>
        <a:xfrm>
          <a:off x="16295497" y="40233600"/>
          <a:ext cx="48133" cy="76200"/>
        </a:xfrm>
        <a:prstGeom prst="rect">
          <a:avLst/>
        </a:prstGeom>
        <a:pattFill prst="ltUpDiag">
          <a:fgClr>
            <a:srgbClr val="400040"/>
          </a:fgClr>
          <a:bgClr>
            <a:srgbClr val="C08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169672</xdr:colOff>
      <xdr:row>162</xdr:row>
      <xdr:rowOff>161925</xdr:rowOff>
    </xdr:from>
    <xdr:to>
      <xdr:col>29</xdr:col>
      <xdr:colOff>217805</xdr:colOff>
      <xdr:row>162</xdr:row>
      <xdr:rowOff>200025</xdr:rowOff>
    </xdr:to>
    <xdr:sp macro="" textlink="">
      <xdr:nvSpPr>
        <xdr:cNvPr id="74750" name="163Results"/>
        <xdr:cNvSpPr/>
      </xdr:nvSpPr>
      <xdr:spPr>
        <a:xfrm>
          <a:off x="16295497" y="40309800"/>
          <a:ext cx="48133" cy="38100"/>
        </a:xfrm>
        <a:prstGeom prst="rect">
          <a:avLst/>
        </a:prstGeom>
        <a:solidFill>
          <a:srgbClr val="40004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230378</xdr:colOff>
      <xdr:row>162</xdr:row>
      <xdr:rowOff>44450</xdr:rowOff>
    </xdr:from>
    <xdr:to>
      <xdr:col>30</xdr:col>
      <xdr:colOff>306578</xdr:colOff>
      <xdr:row>162</xdr:row>
      <xdr:rowOff>215900</xdr:rowOff>
    </xdr:to>
    <xdr:sp macro="" textlink="">
      <xdr:nvSpPr>
        <xdr:cNvPr id="74751" name="163EndPoint"/>
        <xdr:cNvSpPr txBox="1"/>
      </xdr:nvSpPr>
      <xdr:spPr>
        <a:xfrm>
          <a:off x="16356203" y="401923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1/11</a:t>
          </a:r>
          <a:endParaRPr kumimoji="1" lang="ja-JP" altLang="en-US" sz="1000">
            <a:solidFill>
              <a:srgbClr val="000000"/>
            </a:solidFill>
          </a:endParaRPr>
        </a:p>
      </xdr:txBody>
    </xdr:sp>
    <xdr:clientData/>
  </xdr:twoCellAnchor>
  <xdr:twoCellAnchor>
    <xdr:from>
      <xdr:col>29</xdr:col>
      <xdr:colOff>169672</xdr:colOff>
      <xdr:row>163</xdr:row>
      <xdr:rowOff>85725</xdr:rowOff>
    </xdr:from>
    <xdr:to>
      <xdr:col>30</xdr:col>
      <xdr:colOff>108838</xdr:colOff>
      <xdr:row>163</xdr:row>
      <xdr:rowOff>161925</xdr:rowOff>
    </xdr:to>
    <xdr:sp macro="" textlink="">
      <xdr:nvSpPr>
        <xdr:cNvPr id="74752" name="164Graph"/>
        <xdr:cNvSpPr/>
      </xdr:nvSpPr>
      <xdr:spPr>
        <a:xfrm>
          <a:off x="16295497" y="40481250"/>
          <a:ext cx="320166" cy="76200"/>
        </a:xfrm>
        <a:prstGeom prst="rect">
          <a:avLst/>
        </a:prstGeom>
        <a:pattFill prst="ltUpDiag">
          <a:fgClr>
            <a:srgbClr val="400040"/>
          </a:fgClr>
          <a:bgClr>
            <a:srgbClr val="C08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224028</xdr:colOff>
      <xdr:row>163</xdr:row>
      <xdr:rowOff>161925</xdr:rowOff>
    </xdr:from>
    <xdr:to>
      <xdr:col>29</xdr:col>
      <xdr:colOff>272162</xdr:colOff>
      <xdr:row>163</xdr:row>
      <xdr:rowOff>200025</xdr:rowOff>
    </xdr:to>
    <xdr:sp macro="" textlink="">
      <xdr:nvSpPr>
        <xdr:cNvPr id="74753" name="164Results"/>
        <xdr:cNvSpPr/>
      </xdr:nvSpPr>
      <xdr:spPr>
        <a:xfrm>
          <a:off x="16349853" y="40557450"/>
          <a:ext cx="48134" cy="38100"/>
        </a:xfrm>
        <a:prstGeom prst="rect">
          <a:avLst/>
        </a:prstGeom>
        <a:solidFill>
          <a:srgbClr val="40004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121538</xdr:colOff>
      <xdr:row>163</xdr:row>
      <xdr:rowOff>44450</xdr:rowOff>
    </xdr:from>
    <xdr:to>
      <xdr:col>31</xdr:col>
      <xdr:colOff>197738</xdr:colOff>
      <xdr:row>163</xdr:row>
      <xdr:rowOff>215900</xdr:rowOff>
    </xdr:to>
    <xdr:sp macro="" textlink="">
      <xdr:nvSpPr>
        <xdr:cNvPr id="74754" name="164EndPoint"/>
        <xdr:cNvSpPr txBox="1"/>
      </xdr:nvSpPr>
      <xdr:spPr>
        <a:xfrm>
          <a:off x="16628363" y="404399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1/16</a:t>
          </a:r>
          <a:endParaRPr kumimoji="1" lang="ja-JP" altLang="en-US" sz="1000">
            <a:solidFill>
              <a:srgbClr val="000000"/>
            </a:solidFill>
          </a:endParaRPr>
        </a:p>
      </xdr:txBody>
    </xdr:sp>
    <xdr:clientData/>
  </xdr:twoCellAnchor>
  <xdr:twoCellAnchor>
    <xdr:from>
      <xdr:col>29</xdr:col>
      <xdr:colOff>169672</xdr:colOff>
      <xdr:row>164</xdr:row>
      <xdr:rowOff>85725</xdr:rowOff>
    </xdr:from>
    <xdr:to>
      <xdr:col>30</xdr:col>
      <xdr:colOff>108838</xdr:colOff>
      <xdr:row>164</xdr:row>
      <xdr:rowOff>161925</xdr:rowOff>
    </xdr:to>
    <xdr:sp macro="" textlink="">
      <xdr:nvSpPr>
        <xdr:cNvPr id="74755" name="165Graph"/>
        <xdr:cNvSpPr/>
      </xdr:nvSpPr>
      <xdr:spPr>
        <a:xfrm>
          <a:off x="16295497" y="40728900"/>
          <a:ext cx="320166" cy="76200"/>
        </a:xfrm>
        <a:prstGeom prst="rect">
          <a:avLst/>
        </a:prstGeom>
        <a:pattFill prst="ltUpDiag">
          <a:fgClr>
            <a:srgbClr val="400040"/>
          </a:fgClr>
          <a:bgClr>
            <a:srgbClr val="C08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224028</xdr:colOff>
      <xdr:row>164</xdr:row>
      <xdr:rowOff>161925</xdr:rowOff>
    </xdr:from>
    <xdr:to>
      <xdr:col>29</xdr:col>
      <xdr:colOff>272162</xdr:colOff>
      <xdr:row>164</xdr:row>
      <xdr:rowOff>200025</xdr:rowOff>
    </xdr:to>
    <xdr:sp macro="" textlink="">
      <xdr:nvSpPr>
        <xdr:cNvPr id="74756" name="165Results"/>
        <xdr:cNvSpPr/>
      </xdr:nvSpPr>
      <xdr:spPr>
        <a:xfrm>
          <a:off x="16349853" y="40805100"/>
          <a:ext cx="48134" cy="38100"/>
        </a:xfrm>
        <a:prstGeom prst="rect">
          <a:avLst/>
        </a:prstGeom>
        <a:solidFill>
          <a:srgbClr val="40004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121538</xdr:colOff>
      <xdr:row>164</xdr:row>
      <xdr:rowOff>44450</xdr:rowOff>
    </xdr:from>
    <xdr:to>
      <xdr:col>31</xdr:col>
      <xdr:colOff>197738</xdr:colOff>
      <xdr:row>164</xdr:row>
      <xdr:rowOff>215900</xdr:rowOff>
    </xdr:to>
    <xdr:sp macro="" textlink="">
      <xdr:nvSpPr>
        <xdr:cNvPr id="74757" name="165EndPoint"/>
        <xdr:cNvSpPr txBox="1"/>
      </xdr:nvSpPr>
      <xdr:spPr>
        <a:xfrm>
          <a:off x="16628363" y="406876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1/16</a:t>
          </a:r>
          <a:endParaRPr kumimoji="1" lang="ja-JP" altLang="en-US" sz="1000">
            <a:solidFill>
              <a:srgbClr val="000000"/>
            </a:solidFill>
          </a:endParaRPr>
        </a:p>
      </xdr:txBody>
    </xdr:sp>
    <xdr:clientData/>
  </xdr:twoCellAnchor>
  <xdr:twoCellAnchor>
    <xdr:from>
      <xdr:col>31</xdr:col>
      <xdr:colOff>53975</xdr:colOff>
      <xdr:row>163</xdr:row>
      <xdr:rowOff>79277</xdr:rowOff>
    </xdr:from>
    <xdr:to>
      <xdr:col>33</xdr:col>
      <xdr:colOff>273910</xdr:colOff>
      <xdr:row>163</xdr:row>
      <xdr:rowOff>238027</xdr:rowOff>
    </xdr:to>
    <xdr:sp macro="" textlink="">
      <xdr:nvSpPr>
        <xdr:cNvPr id="74758" name="165Comment"/>
        <xdr:cNvSpPr txBox="1"/>
      </xdr:nvSpPr>
      <xdr:spPr>
        <a:xfrm>
          <a:off x="16941800" y="40474802"/>
          <a:ext cx="981935" cy="158750"/>
        </a:xfrm>
        <a:prstGeom prst="rect">
          <a:avLst/>
        </a:prstGeom>
        <a:solidFill>
          <a:schemeClr val="lt1">
            <a:alpha val="10000"/>
          </a:scheme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spAutoFit/>
        </a:bodyPr>
        <a:lstStyle/>
        <a:p>
          <a:pPr algn="l"/>
          <a:r>
            <a:rPr kumimoji="1" lang="ja-JP" altLang="en-US" sz="900" b="0" i="0" u="none">
              <a:latin typeface="Meiryo UI"/>
            </a:rPr>
            <a:t>画面要件シート・
入出力定義書シート
</a:t>
          </a:r>
        </a:p>
      </xdr:txBody>
    </xdr:sp>
    <xdr:clientData/>
  </xdr:twoCellAnchor>
  <xdr:twoCellAnchor>
    <xdr:from>
      <xdr:col>29</xdr:col>
      <xdr:colOff>169672</xdr:colOff>
      <xdr:row>165</xdr:row>
      <xdr:rowOff>85725</xdr:rowOff>
    </xdr:from>
    <xdr:to>
      <xdr:col>30</xdr:col>
      <xdr:colOff>108838</xdr:colOff>
      <xdr:row>165</xdr:row>
      <xdr:rowOff>161925</xdr:rowOff>
    </xdr:to>
    <xdr:sp macro="" textlink="">
      <xdr:nvSpPr>
        <xdr:cNvPr id="74759" name="166Graph"/>
        <xdr:cNvSpPr/>
      </xdr:nvSpPr>
      <xdr:spPr>
        <a:xfrm>
          <a:off x="16295497" y="40976550"/>
          <a:ext cx="320166" cy="76200"/>
        </a:xfrm>
        <a:prstGeom prst="rect">
          <a:avLst/>
        </a:prstGeom>
        <a:pattFill prst="ltUpDiag">
          <a:fgClr>
            <a:srgbClr val="400040"/>
          </a:fgClr>
          <a:bgClr>
            <a:srgbClr val="C08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224028</xdr:colOff>
      <xdr:row>165</xdr:row>
      <xdr:rowOff>161925</xdr:rowOff>
    </xdr:from>
    <xdr:to>
      <xdr:col>29</xdr:col>
      <xdr:colOff>272162</xdr:colOff>
      <xdr:row>165</xdr:row>
      <xdr:rowOff>200025</xdr:rowOff>
    </xdr:to>
    <xdr:sp macro="" textlink="">
      <xdr:nvSpPr>
        <xdr:cNvPr id="74760" name="166Results"/>
        <xdr:cNvSpPr/>
      </xdr:nvSpPr>
      <xdr:spPr>
        <a:xfrm>
          <a:off x="16349853" y="41052750"/>
          <a:ext cx="48134" cy="38100"/>
        </a:xfrm>
        <a:prstGeom prst="rect">
          <a:avLst/>
        </a:prstGeom>
        <a:solidFill>
          <a:srgbClr val="40004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121538</xdr:colOff>
      <xdr:row>165</xdr:row>
      <xdr:rowOff>44450</xdr:rowOff>
    </xdr:from>
    <xdr:to>
      <xdr:col>31</xdr:col>
      <xdr:colOff>197738</xdr:colOff>
      <xdr:row>165</xdr:row>
      <xdr:rowOff>215900</xdr:rowOff>
    </xdr:to>
    <xdr:sp macro="" textlink="">
      <xdr:nvSpPr>
        <xdr:cNvPr id="74761" name="166EndPoint"/>
        <xdr:cNvSpPr txBox="1"/>
      </xdr:nvSpPr>
      <xdr:spPr>
        <a:xfrm>
          <a:off x="16628363" y="409352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1/16</a:t>
          </a:r>
          <a:endParaRPr kumimoji="1" lang="ja-JP" altLang="en-US" sz="1000">
            <a:solidFill>
              <a:srgbClr val="000000"/>
            </a:solidFill>
          </a:endParaRPr>
        </a:p>
      </xdr:txBody>
    </xdr:sp>
    <xdr:clientData/>
  </xdr:twoCellAnchor>
  <xdr:twoCellAnchor>
    <xdr:from>
      <xdr:col>30</xdr:col>
      <xdr:colOff>60833</xdr:colOff>
      <xdr:row>166</xdr:row>
      <xdr:rowOff>85725</xdr:rowOff>
    </xdr:from>
    <xdr:to>
      <xdr:col>30</xdr:col>
      <xdr:colOff>108967</xdr:colOff>
      <xdr:row>166</xdr:row>
      <xdr:rowOff>161925</xdr:rowOff>
    </xdr:to>
    <xdr:sp macro="" textlink="">
      <xdr:nvSpPr>
        <xdr:cNvPr id="74762" name="167Graph"/>
        <xdr:cNvSpPr/>
      </xdr:nvSpPr>
      <xdr:spPr>
        <a:xfrm>
          <a:off x="16567658" y="41224200"/>
          <a:ext cx="48134" cy="76200"/>
        </a:xfrm>
        <a:prstGeom prst="rect">
          <a:avLst/>
        </a:prstGeom>
        <a:pattFill prst="ltUpDiag">
          <a:fgClr>
            <a:srgbClr val="400040"/>
          </a:fgClr>
          <a:bgClr>
            <a:srgbClr val="C08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60833</xdr:colOff>
      <xdr:row>166</xdr:row>
      <xdr:rowOff>161925</xdr:rowOff>
    </xdr:from>
    <xdr:to>
      <xdr:col>30</xdr:col>
      <xdr:colOff>108967</xdr:colOff>
      <xdr:row>166</xdr:row>
      <xdr:rowOff>200025</xdr:rowOff>
    </xdr:to>
    <xdr:sp macro="" textlink="">
      <xdr:nvSpPr>
        <xdr:cNvPr id="74763" name="167Results"/>
        <xdr:cNvSpPr/>
      </xdr:nvSpPr>
      <xdr:spPr>
        <a:xfrm>
          <a:off x="16567658" y="41300400"/>
          <a:ext cx="48134" cy="38100"/>
        </a:xfrm>
        <a:prstGeom prst="rect">
          <a:avLst/>
        </a:prstGeom>
        <a:solidFill>
          <a:srgbClr val="40004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121538</xdr:colOff>
      <xdr:row>166</xdr:row>
      <xdr:rowOff>44450</xdr:rowOff>
    </xdr:from>
    <xdr:to>
      <xdr:col>31</xdr:col>
      <xdr:colOff>197738</xdr:colOff>
      <xdr:row>166</xdr:row>
      <xdr:rowOff>215900</xdr:rowOff>
    </xdr:to>
    <xdr:sp macro="" textlink="">
      <xdr:nvSpPr>
        <xdr:cNvPr id="74764" name="167EndPoint"/>
        <xdr:cNvSpPr txBox="1"/>
      </xdr:nvSpPr>
      <xdr:spPr>
        <a:xfrm>
          <a:off x="16628363" y="411829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1/16</a:t>
          </a:r>
          <a:endParaRPr kumimoji="1" lang="ja-JP" altLang="en-US" sz="1000">
            <a:solidFill>
              <a:srgbClr val="000000"/>
            </a:solidFill>
          </a:endParaRPr>
        </a:p>
      </xdr:txBody>
    </xdr:sp>
    <xdr:clientData/>
  </xdr:twoCellAnchor>
  <xdr:twoCellAnchor>
    <xdr:from>
      <xdr:col>30</xdr:col>
      <xdr:colOff>60833</xdr:colOff>
      <xdr:row>167</xdr:row>
      <xdr:rowOff>85725</xdr:rowOff>
    </xdr:from>
    <xdr:to>
      <xdr:col>30</xdr:col>
      <xdr:colOff>108967</xdr:colOff>
      <xdr:row>167</xdr:row>
      <xdr:rowOff>161925</xdr:rowOff>
    </xdr:to>
    <xdr:sp macro="" textlink="">
      <xdr:nvSpPr>
        <xdr:cNvPr id="74765" name="168Graph"/>
        <xdr:cNvSpPr/>
      </xdr:nvSpPr>
      <xdr:spPr>
        <a:xfrm>
          <a:off x="16567658" y="41471850"/>
          <a:ext cx="48134" cy="76200"/>
        </a:xfrm>
        <a:prstGeom prst="rect">
          <a:avLst/>
        </a:prstGeom>
        <a:pattFill prst="ltUpDiag">
          <a:fgClr>
            <a:srgbClr val="400040"/>
          </a:fgClr>
          <a:bgClr>
            <a:srgbClr val="C08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60833</xdr:colOff>
      <xdr:row>167</xdr:row>
      <xdr:rowOff>161925</xdr:rowOff>
    </xdr:from>
    <xdr:to>
      <xdr:col>30</xdr:col>
      <xdr:colOff>108967</xdr:colOff>
      <xdr:row>167</xdr:row>
      <xdr:rowOff>200025</xdr:rowOff>
    </xdr:to>
    <xdr:sp macro="" textlink="">
      <xdr:nvSpPr>
        <xdr:cNvPr id="74766" name="168Results"/>
        <xdr:cNvSpPr/>
      </xdr:nvSpPr>
      <xdr:spPr>
        <a:xfrm>
          <a:off x="16567658" y="41548050"/>
          <a:ext cx="48134" cy="38100"/>
        </a:xfrm>
        <a:prstGeom prst="rect">
          <a:avLst/>
        </a:prstGeom>
        <a:solidFill>
          <a:srgbClr val="40004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121538</xdr:colOff>
      <xdr:row>167</xdr:row>
      <xdr:rowOff>44450</xdr:rowOff>
    </xdr:from>
    <xdr:to>
      <xdr:col>31</xdr:col>
      <xdr:colOff>197738</xdr:colOff>
      <xdr:row>167</xdr:row>
      <xdr:rowOff>215900</xdr:rowOff>
    </xdr:to>
    <xdr:sp macro="" textlink="">
      <xdr:nvSpPr>
        <xdr:cNvPr id="74767" name="168EndPoint"/>
        <xdr:cNvSpPr txBox="1"/>
      </xdr:nvSpPr>
      <xdr:spPr>
        <a:xfrm>
          <a:off x="16628363" y="414305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1/16</a:t>
          </a:r>
          <a:endParaRPr kumimoji="1" lang="ja-JP" altLang="en-US" sz="1000">
            <a:solidFill>
              <a:srgbClr val="000000"/>
            </a:solidFill>
          </a:endParaRPr>
        </a:p>
      </xdr:txBody>
    </xdr:sp>
    <xdr:clientData/>
  </xdr:twoCellAnchor>
  <xdr:twoCellAnchor>
    <xdr:from>
      <xdr:col>30</xdr:col>
      <xdr:colOff>169672</xdr:colOff>
      <xdr:row>168</xdr:row>
      <xdr:rowOff>85725</xdr:rowOff>
    </xdr:from>
    <xdr:to>
      <xdr:col>30</xdr:col>
      <xdr:colOff>217805</xdr:colOff>
      <xdr:row>168</xdr:row>
      <xdr:rowOff>161925</xdr:rowOff>
    </xdr:to>
    <xdr:sp macro="" textlink="">
      <xdr:nvSpPr>
        <xdr:cNvPr id="74768" name="169Graph"/>
        <xdr:cNvSpPr/>
      </xdr:nvSpPr>
      <xdr:spPr>
        <a:xfrm>
          <a:off x="16676497" y="41719500"/>
          <a:ext cx="48133" cy="76200"/>
        </a:xfrm>
        <a:prstGeom prst="rect">
          <a:avLst/>
        </a:prstGeom>
        <a:pattFill prst="ltUpDiag">
          <a:fgClr>
            <a:srgbClr val="400040"/>
          </a:fgClr>
          <a:bgClr>
            <a:srgbClr val="C08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60833</xdr:colOff>
      <xdr:row>168</xdr:row>
      <xdr:rowOff>161925</xdr:rowOff>
    </xdr:from>
    <xdr:to>
      <xdr:col>30</xdr:col>
      <xdr:colOff>108967</xdr:colOff>
      <xdr:row>168</xdr:row>
      <xdr:rowOff>200025</xdr:rowOff>
    </xdr:to>
    <xdr:sp macro="" textlink="">
      <xdr:nvSpPr>
        <xdr:cNvPr id="74769" name="169Results"/>
        <xdr:cNvSpPr/>
      </xdr:nvSpPr>
      <xdr:spPr>
        <a:xfrm>
          <a:off x="16567658" y="41795700"/>
          <a:ext cx="48134" cy="38100"/>
        </a:xfrm>
        <a:prstGeom prst="rect">
          <a:avLst/>
        </a:prstGeom>
        <a:solidFill>
          <a:srgbClr val="40004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230378</xdr:colOff>
      <xdr:row>168</xdr:row>
      <xdr:rowOff>44450</xdr:rowOff>
    </xdr:from>
    <xdr:to>
      <xdr:col>31</xdr:col>
      <xdr:colOff>306578</xdr:colOff>
      <xdr:row>168</xdr:row>
      <xdr:rowOff>215900</xdr:rowOff>
    </xdr:to>
    <xdr:sp macro="" textlink="">
      <xdr:nvSpPr>
        <xdr:cNvPr id="74770" name="169EndPoint"/>
        <xdr:cNvSpPr txBox="1"/>
      </xdr:nvSpPr>
      <xdr:spPr>
        <a:xfrm>
          <a:off x="16737203" y="416782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1/18</a:t>
          </a:r>
          <a:endParaRPr kumimoji="1" lang="ja-JP" altLang="en-US" sz="1000">
            <a:solidFill>
              <a:srgbClr val="000000"/>
            </a:solidFill>
          </a:endParaRPr>
        </a:p>
      </xdr:txBody>
    </xdr:sp>
    <xdr:clientData/>
  </xdr:twoCellAnchor>
  <xdr:twoCellAnchor>
    <xdr:from>
      <xdr:col>29</xdr:col>
      <xdr:colOff>224028</xdr:colOff>
      <xdr:row>169</xdr:row>
      <xdr:rowOff>0</xdr:rowOff>
    </xdr:from>
    <xdr:to>
      <xdr:col>30</xdr:col>
      <xdr:colOff>163195</xdr:colOff>
      <xdr:row>170</xdr:row>
      <xdr:rowOff>0</xdr:rowOff>
    </xdr:to>
    <xdr:sp macro="" textlink="">
      <xdr:nvSpPr>
        <xdr:cNvPr id="74771" name="170Graph"/>
        <xdr:cNvSpPr/>
      </xdr:nvSpPr>
      <xdr:spPr>
        <a:xfrm>
          <a:off x="16349853" y="41881425"/>
          <a:ext cx="320167" cy="247650"/>
        </a:xfrm>
        <a:prstGeom prst="rect">
          <a:avLst/>
        </a:prstGeom>
        <a:gradFill flip="none" rotWithShape="1">
          <a:gsLst>
            <a:gs pos="0">
              <a:srgbClr val="4C6680"/>
            </a:gs>
            <a:gs pos="50000">
              <a:srgbClr val="FFFFFF"/>
            </a:gs>
            <a:gs pos="100000">
              <a:srgbClr val="CCE6FF"/>
            </a:gs>
          </a:gsLst>
          <a:lin ang="5400000" scaled="1"/>
          <a:tileRect/>
        </a:gra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kumimoji="1" lang="ja-JP" altLang="en-US" sz="1000">
              <a:solidFill>
                <a:srgbClr val="000000"/>
              </a:solidFill>
            </a:rPr>
            <a:t>拠点別収支表</a:t>
          </a:r>
          <a:r>
            <a:rPr kumimoji="1" lang="en-US" altLang="ja-JP" sz="1000">
              <a:solidFill>
                <a:srgbClr val="000000"/>
              </a:solidFill>
            </a:rPr>
            <a:t>(1/12</a:t>
          </a:r>
          <a:r>
            <a:rPr kumimoji="1" lang="ja-JP" altLang="en-US" sz="1000">
              <a:solidFill>
                <a:srgbClr val="000000"/>
              </a:solidFill>
            </a:rPr>
            <a:t>～</a:t>
          </a:r>
          <a:r>
            <a:rPr kumimoji="1" lang="en-US" altLang="ja-JP" sz="1000">
              <a:solidFill>
                <a:srgbClr val="000000"/>
              </a:solidFill>
            </a:rPr>
            <a:t>1/17)</a:t>
          </a:r>
          <a:endParaRPr kumimoji="1" lang="ja-JP" altLang="en-US" sz="1000">
            <a:solidFill>
              <a:srgbClr val="000000"/>
            </a:solidFill>
          </a:endParaRPr>
        </a:p>
      </xdr:txBody>
    </xdr:sp>
    <xdr:clientData/>
  </xdr:twoCellAnchor>
  <xdr:twoCellAnchor>
    <xdr:from>
      <xdr:col>29</xdr:col>
      <xdr:colOff>224028</xdr:colOff>
      <xdr:row>170</xdr:row>
      <xdr:rowOff>85725</xdr:rowOff>
    </xdr:from>
    <xdr:to>
      <xdr:col>29</xdr:col>
      <xdr:colOff>272162</xdr:colOff>
      <xdr:row>170</xdr:row>
      <xdr:rowOff>161925</xdr:rowOff>
    </xdr:to>
    <xdr:sp macro="" textlink="">
      <xdr:nvSpPr>
        <xdr:cNvPr id="74772" name="171Graph"/>
        <xdr:cNvSpPr/>
      </xdr:nvSpPr>
      <xdr:spPr>
        <a:xfrm>
          <a:off x="16349853" y="42214800"/>
          <a:ext cx="48134"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60833</xdr:colOff>
      <xdr:row>170</xdr:row>
      <xdr:rowOff>161925</xdr:rowOff>
    </xdr:from>
    <xdr:to>
      <xdr:col>30</xdr:col>
      <xdr:colOff>108967</xdr:colOff>
      <xdr:row>170</xdr:row>
      <xdr:rowOff>200025</xdr:rowOff>
    </xdr:to>
    <xdr:sp macro="" textlink="">
      <xdr:nvSpPr>
        <xdr:cNvPr id="74773" name="171Results"/>
        <xdr:cNvSpPr/>
      </xdr:nvSpPr>
      <xdr:spPr>
        <a:xfrm>
          <a:off x="16567658" y="42291000"/>
          <a:ext cx="48134"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284862</xdr:colOff>
      <xdr:row>170</xdr:row>
      <xdr:rowOff>44450</xdr:rowOff>
    </xdr:from>
    <xdr:to>
      <xdr:col>30</xdr:col>
      <xdr:colOff>361062</xdr:colOff>
      <xdr:row>170</xdr:row>
      <xdr:rowOff>215900</xdr:rowOff>
    </xdr:to>
    <xdr:sp macro="" textlink="">
      <xdr:nvSpPr>
        <xdr:cNvPr id="74774" name="171EndPoint"/>
        <xdr:cNvSpPr txBox="1"/>
      </xdr:nvSpPr>
      <xdr:spPr>
        <a:xfrm>
          <a:off x="16410687" y="421735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1/12</a:t>
          </a:r>
          <a:endParaRPr kumimoji="1" lang="ja-JP" altLang="en-US" sz="1000">
            <a:solidFill>
              <a:srgbClr val="000000"/>
            </a:solidFill>
          </a:endParaRPr>
        </a:p>
      </xdr:txBody>
    </xdr:sp>
    <xdr:clientData/>
  </xdr:twoCellAnchor>
  <xdr:twoCellAnchor>
    <xdr:from>
      <xdr:col>29</xdr:col>
      <xdr:colOff>224028</xdr:colOff>
      <xdr:row>171</xdr:row>
      <xdr:rowOff>85725</xdr:rowOff>
    </xdr:from>
    <xdr:to>
      <xdr:col>30</xdr:col>
      <xdr:colOff>54356</xdr:colOff>
      <xdr:row>171</xdr:row>
      <xdr:rowOff>161925</xdr:rowOff>
    </xdr:to>
    <xdr:sp macro="" textlink="">
      <xdr:nvSpPr>
        <xdr:cNvPr id="74775" name="172Graph"/>
        <xdr:cNvSpPr/>
      </xdr:nvSpPr>
      <xdr:spPr>
        <a:xfrm>
          <a:off x="16349853" y="42462450"/>
          <a:ext cx="211328"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60833</xdr:colOff>
      <xdr:row>171</xdr:row>
      <xdr:rowOff>161925</xdr:rowOff>
    </xdr:from>
    <xdr:to>
      <xdr:col>30</xdr:col>
      <xdr:colOff>108967</xdr:colOff>
      <xdr:row>171</xdr:row>
      <xdr:rowOff>200025</xdr:rowOff>
    </xdr:to>
    <xdr:sp macro="" textlink="">
      <xdr:nvSpPr>
        <xdr:cNvPr id="74776" name="172Results"/>
        <xdr:cNvSpPr/>
      </xdr:nvSpPr>
      <xdr:spPr>
        <a:xfrm>
          <a:off x="16567658" y="42538650"/>
          <a:ext cx="48134"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67183</xdr:colOff>
      <xdr:row>171</xdr:row>
      <xdr:rowOff>44450</xdr:rowOff>
    </xdr:from>
    <xdr:to>
      <xdr:col>31</xdr:col>
      <xdr:colOff>143383</xdr:colOff>
      <xdr:row>171</xdr:row>
      <xdr:rowOff>215900</xdr:rowOff>
    </xdr:to>
    <xdr:sp macro="" textlink="">
      <xdr:nvSpPr>
        <xdr:cNvPr id="74777" name="172EndPoint"/>
        <xdr:cNvSpPr txBox="1"/>
      </xdr:nvSpPr>
      <xdr:spPr>
        <a:xfrm>
          <a:off x="16574008" y="424211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1/15</a:t>
          </a:r>
          <a:endParaRPr kumimoji="1" lang="ja-JP" altLang="en-US" sz="1000">
            <a:solidFill>
              <a:srgbClr val="000000"/>
            </a:solidFill>
          </a:endParaRPr>
        </a:p>
      </xdr:txBody>
    </xdr:sp>
    <xdr:clientData/>
  </xdr:twoCellAnchor>
  <xdr:twoCellAnchor>
    <xdr:from>
      <xdr:col>29</xdr:col>
      <xdr:colOff>224028</xdr:colOff>
      <xdr:row>172</xdr:row>
      <xdr:rowOff>85725</xdr:rowOff>
    </xdr:from>
    <xdr:to>
      <xdr:col>30</xdr:col>
      <xdr:colOff>54356</xdr:colOff>
      <xdr:row>172</xdr:row>
      <xdr:rowOff>161925</xdr:rowOff>
    </xdr:to>
    <xdr:sp macro="" textlink="">
      <xdr:nvSpPr>
        <xdr:cNvPr id="74778" name="173Graph"/>
        <xdr:cNvSpPr/>
      </xdr:nvSpPr>
      <xdr:spPr>
        <a:xfrm>
          <a:off x="16349853" y="42710100"/>
          <a:ext cx="211328"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60833</xdr:colOff>
      <xdr:row>172</xdr:row>
      <xdr:rowOff>161925</xdr:rowOff>
    </xdr:from>
    <xdr:to>
      <xdr:col>30</xdr:col>
      <xdr:colOff>108967</xdr:colOff>
      <xdr:row>172</xdr:row>
      <xdr:rowOff>200025</xdr:rowOff>
    </xdr:to>
    <xdr:sp macro="" textlink="">
      <xdr:nvSpPr>
        <xdr:cNvPr id="74779" name="173Results"/>
        <xdr:cNvSpPr/>
      </xdr:nvSpPr>
      <xdr:spPr>
        <a:xfrm>
          <a:off x="16567658" y="42786300"/>
          <a:ext cx="48134"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67183</xdr:colOff>
      <xdr:row>172</xdr:row>
      <xdr:rowOff>44450</xdr:rowOff>
    </xdr:from>
    <xdr:to>
      <xdr:col>31</xdr:col>
      <xdr:colOff>143383</xdr:colOff>
      <xdr:row>172</xdr:row>
      <xdr:rowOff>215900</xdr:rowOff>
    </xdr:to>
    <xdr:sp macro="" textlink="">
      <xdr:nvSpPr>
        <xdr:cNvPr id="74780" name="173EndPoint"/>
        <xdr:cNvSpPr txBox="1"/>
      </xdr:nvSpPr>
      <xdr:spPr>
        <a:xfrm>
          <a:off x="16574008" y="426688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1/15</a:t>
          </a:r>
          <a:endParaRPr kumimoji="1" lang="ja-JP" altLang="en-US" sz="1000">
            <a:solidFill>
              <a:srgbClr val="000000"/>
            </a:solidFill>
          </a:endParaRPr>
        </a:p>
      </xdr:txBody>
    </xdr:sp>
    <xdr:clientData/>
  </xdr:twoCellAnchor>
  <xdr:twoCellAnchor>
    <xdr:from>
      <xdr:col>31</xdr:col>
      <xdr:colOff>3175</xdr:colOff>
      <xdr:row>171</xdr:row>
      <xdr:rowOff>79277</xdr:rowOff>
    </xdr:from>
    <xdr:to>
      <xdr:col>33</xdr:col>
      <xdr:colOff>223110</xdr:colOff>
      <xdr:row>171</xdr:row>
      <xdr:rowOff>238027</xdr:rowOff>
    </xdr:to>
    <xdr:sp macro="" textlink="">
      <xdr:nvSpPr>
        <xdr:cNvPr id="74781" name="173Comment"/>
        <xdr:cNvSpPr txBox="1"/>
      </xdr:nvSpPr>
      <xdr:spPr>
        <a:xfrm>
          <a:off x="16891000" y="42456002"/>
          <a:ext cx="981935" cy="158750"/>
        </a:xfrm>
        <a:prstGeom prst="rect">
          <a:avLst/>
        </a:prstGeom>
        <a:solidFill>
          <a:schemeClr val="lt1">
            <a:alpha val="10000"/>
          </a:scheme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spAutoFit/>
        </a:bodyPr>
        <a:lstStyle/>
        <a:p>
          <a:pPr algn="l"/>
          <a:r>
            <a:rPr kumimoji="1" lang="ja-JP" altLang="en-US" sz="900" b="0" i="0" u="none">
              <a:latin typeface="Meiryo UI"/>
            </a:rPr>
            <a:t>画面要件シート・
入出力定義書シート
</a:t>
          </a:r>
        </a:p>
      </xdr:txBody>
    </xdr:sp>
    <xdr:clientData/>
  </xdr:twoCellAnchor>
  <xdr:twoCellAnchor>
    <xdr:from>
      <xdr:col>29</xdr:col>
      <xdr:colOff>224028</xdr:colOff>
      <xdr:row>173</xdr:row>
      <xdr:rowOff>85725</xdr:rowOff>
    </xdr:from>
    <xdr:to>
      <xdr:col>30</xdr:col>
      <xdr:colOff>54356</xdr:colOff>
      <xdr:row>173</xdr:row>
      <xdr:rowOff>161925</xdr:rowOff>
    </xdr:to>
    <xdr:sp macro="" textlink="">
      <xdr:nvSpPr>
        <xdr:cNvPr id="74782" name="174Graph"/>
        <xdr:cNvSpPr/>
      </xdr:nvSpPr>
      <xdr:spPr>
        <a:xfrm>
          <a:off x="16349853" y="42957750"/>
          <a:ext cx="211328"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60833</xdr:colOff>
      <xdr:row>173</xdr:row>
      <xdr:rowOff>161925</xdr:rowOff>
    </xdr:from>
    <xdr:to>
      <xdr:col>30</xdr:col>
      <xdr:colOff>108967</xdr:colOff>
      <xdr:row>173</xdr:row>
      <xdr:rowOff>200025</xdr:rowOff>
    </xdr:to>
    <xdr:sp macro="" textlink="">
      <xdr:nvSpPr>
        <xdr:cNvPr id="74783" name="174Results"/>
        <xdr:cNvSpPr/>
      </xdr:nvSpPr>
      <xdr:spPr>
        <a:xfrm>
          <a:off x="16567658" y="43033950"/>
          <a:ext cx="48134"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67183</xdr:colOff>
      <xdr:row>173</xdr:row>
      <xdr:rowOff>44450</xdr:rowOff>
    </xdr:from>
    <xdr:to>
      <xdr:col>31</xdr:col>
      <xdr:colOff>143383</xdr:colOff>
      <xdr:row>173</xdr:row>
      <xdr:rowOff>215900</xdr:rowOff>
    </xdr:to>
    <xdr:sp macro="" textlink="">
      <xdr:nvSpPr>
        <xdr:cNvPr id="74784" name="174EndPoint"/>
        <xdr:cNvSpPr txBox="1"/>
      </xdr:nvSpPr>
      <xdr:spPr>
        <a:xfrm>
          <a:off x="16574008" y="429164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1/15</a:t>
          </a:r>
          <a:endParaRPr kumimoji="1" lang="ja-JP" altLang="en-US" sz="1000">
            <a:solidFill>
              <a:srgbClr val="000000"/>
            </a:solidFill>
          </a:endParaRPr>
        </a:p>
      </xdr:txBody>
    </xdr:sp>
    <xdr:clientData/>
  </xdr:twoCellAnchor>
  <xdr:twoCellAnchor>
    <xdr:from>
      <xdr:col>30</xdr:col>
      <xdr:colOff>60833</xdr:colOff>
      <xdr:row>174</xdr:row>
      <xdr:rowOff>85725</xdr:rowOff>
    </xdr:from>
    <xdr:to>
      <xdr:col>30</xdr:col>
      <xdr:colOff>108967</xdr:colOff>
      <xdr:row>174</xdr:row>
      <xdr:rowOff>161925</xdr:rowOff>
    </xdr:to>
    <xdr:sp macro="" textlink="">
      <xdr:nvSpPr>
        <xdr:cNvPr id="74785" name="175Graph"/>
        <xdr:cNvSpPr/>
      </xdr:nvSpPr>
      <xdr:spPr>
        <a:xfrm>
          <a:off x="16567658" y="43205400"/>
          <a:ext cx="48134"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60833</xdr:colOff>
      <xdr:row>174</xdr:row>
      <xdr:rowOff>161925</xdr:rowOff>
    </xdr:from>
    <xdr:to>
      <xdr:col>30</xdr:col>
      <xdr:colOff>108967</xdr:colOff>
      <xdr:row>174</xdr:row>
      <xdr:rowOff>200025</xdr:rowOff>
    </xdr:to>
    <xdr:sp macro="" textlink="">
      <xdr:nvSpPr>
        <xdr:cNvPr id="74786" name="175Results"/>
        <xdr:cNvSpPr/>
      </xdr:nvSpPr>
      <xdr:spPr>
        <a:xfrm>
          <a:off x="16567658" y="43281600"/>
          <a:ext cx="48134"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121538</xdr:colOff>
      <xdr:row>174</xdr:row>
      <xdr:rowOff>44450</xdr:rowOff>
    </xdr:from>
    <xdr:to>
      <xdr:col>31</xdr:col>
      <xdr:colOff>197738</xdr:colOff>
      <xdr:row>174</xdr:row>
      <xdr:rowOff>215900</xdr:rowOff>
    </xdr:to>
    <xdr:sp macro="" textlink="">
      <xdr:nvSpPr>
        <xdr:cNvPr id="74787" name="175EndPoint"/>
        <xdr:cNvSpPr txBox="1"/>
      </xdr:nvSpPr>
      <xdr:spPr>
        <a:xfrm>
          <a:off x="16628363" y="431641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1/16</a:t>
          </a:r>
          <a:endParaRPr kumimoji="1" lang="ja-JP" altLang="en-US" sz="1000">
            <a:solidFill>
              <a:srgbClr val="000000"/>
            </a:solidFill>
          </a:endParaRPr>
        </a:p>
      </xdr:txBody>
    </xdr:sp>
    <xdr:clientData/>
  </xdr:twoCellAnchor>
  <xdr:twoCellAnchor>
    <xdr:from>
      <xdr:col>30</xdr:col>
      <xdr:colOff>60833</xdr:colOff>
      <xdr:row>175</xdr:row>
      <xdr:rowOff>85725</xdr:rowOff>
    </xdr:from>
    <xdr:to>
      <xdr:col>30</xdr:col>
      <xdr:colOff>108967</xdr:colOff>
      <xdr:row>175</xdr:row>
      <xdr:rowOff>161925</xdr:rowOff>
    </xdr:to>
    <xdr:sp macro="" textlink="">
      <xdr:nvSpPr>
        <xdr:cNvPr id="74788" name="176Graph"/>
        <xdr:cNvSpPr/>
      </xdr:nvSpPr>
      <xdr:spPr>
        <a:xfrm>
          <a:off x="16567658" y="43453050"/>
          <a:ext cx="48134"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60833</xdr:colOff>
      <xdr:row>175</xdr:row>
      <xdr:rowOff>161925</xdr:rowOff>
    </xdr:from>
    <xdr:to>
      <xdr:col>30</xdr:col>
      <xdr:colOff>163322</xdr:colOff>
      <xdr:row>175</xdr:row>
      <xdr:rowOff>200025</xdr:rowOff>
    </xdr:to>
    <xdr:sp macro="" textlink="">
      <xdr:nvSpPr>
        <xdr:cNvPr id="74789" name="176Results"/>
        <xdr:cNvSpPr/>
      </xdr:nvSpPr>
      <xdr:spPr>
        <a:xfrm>
          <a:off x="16567658" y="43529250"/>
          <a:ext cx="102489"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121538</xdr:colOff>
      <xdr:row>175</xdr:row>
      <xdr:rowOff>44450</xdr:rowOff>
    </xdr:from>
    <xdr:to>
      <xdr:col>31</xdr:col>
      <xdr:colOff>197738</xdr:colOff>
      <xdr:row>175</xdr:row>
      <xdr:rowOff>215900</xdr:rowOff>
    </xdr:to>
    <xdr:sp macro="" textlink="">
      <xdr:nvSpPr>
        <xdr:cNvPr id="74790" name="176EndPoint"/>
        <xdr:cNvSpPr txBox="1"/>
      </xdr:nvSpPr>
      <xdr:spPr>
        <a:xfrm>
          <a:off x="16628363" y="434117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1/16</a:t>
          </a:r>
          <a:endParaRPr kumimoji="1" lang="ja-JP" altLang="en-US" sz="1000">
            <a:solidFill>
              <a:srgbClr val="000000"/>
            </a:solidFill>
          </a:endParaRPr>
        </a:p>
      </xdr:txBody>
    </xdr:sp>
    <xdr:clientData/>
  </xdr:twoCellAnchor>
  <xdr:twoCellAnchor>
    <xdr:from>
      <xdr:col>30</xdr:col>
      <xdr:colOff>115188</xdr:colOff>
      <xdr:row>176</xdr:row>
      <xdr:rowOff>85725</xdr:rowOff>
    </xdr:from>
    <xdr:to>
      <xdr:col>30</xdr:col>
      <xdr:colOff>163322</xdr:colOff>
      <xdr:row>176</xdr:row>
      <xdr:rowOff>161925</xdr:rowOff>
    </xdr:to>
    <xdr:sp macro="" textlink="">
      <xdr:nvSpPr>
        <xdr:cNvPr id="74791" name="177Graph"/>
        <xdr:cNvSpPr/>
      </xdr:nvSpPr>
      <xdr:spPr>
        <a:xfrm>
          <a:off x="16622013" y="43700700"/>
          <a:ext cx="48134"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115188</xdr:colOff>
      <xdr:row>176</xdr:row>
      <xdr:rowOff>161925</xdr:rowOff>
    </xdr:from>
    <xdr:to>
      <xdr:col>30</xdr:col>
      <xdr:colOff>163322</xdr:colOff>
      <xdr:row>176</xdr:row>
      <xdr:rowOff>200025</xdr:rowOff>
    </xdr:to>
    <xdr:sp macro="" textlink="">
      <xdr:nvSpPr>
        <xdr:cNvPr id="74792" name="177Results"/>
        <xdr:cNvSpPr/>
      </xdr:nvSpPr>
      <xdr:spPr>
        <a:xfrm>
          <a:off x="16622013" y="43776900"/>
          <a:ext cx="48134"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176022</xdr:colOff>
      <xdr:row>176</xdr:row>
      <xdr:rowOff>44450</xdr:rowOff>
    </xdr:from>
    <xdr:to>
      <xdr:col>31</xdr:col>
      <xdr:colOff>252222</xdr:colOff>
      <xdr:row>176</xdr:row>
      <xdr:rowOff>215900</xdr:rowOff>
    </xdr:to>
    <xdr:sp macro="" textlink="">
      <xdr:nvSpPr>
        <xdr:cNvPr id="74793" name="177EndPoint"/>
        <xdr:cNvSpPr txBox="1"/>
      </xdr:nvSpPr>
      <xdr:spPr>
        <a:xfrm>
          <a:off x="16682847" y="436594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1/17</a:t>
          </a:r>
          <a:endParaRPr kumimoji="1" lang="ja-JP" altLang="en-US" sz="1000">
            <a:solidFill>
              <a:srgbClr val="000000"/>
            </a:solidFill>
          </a:endParaRPr>
        </a:p>
      </xdr:txBody>
    </xdr:sp>
    <xdr:clientData/>
  </xdr:twoCellAnchor>
  <xdr:twoCellAnchor>
    <xdr:from>
      <xdr:col>29</xdr:col>
      <xdr:colOff>224028</xdr:colOff>
      <xdr:row>177</xdr:row>
      <xdr:rowOff>0</xdr:rowOff>
    </xdr:from>
    <xdr:to>
      <xdr:col>30</xdr:col>
      <xdr:colOff>163195</xdr:colOff>
      <xdr:row>178</xdr:row>
      <xdr:rowOff>0</xdr:rowOff>
    </xdr:to>
    <xdr:sp macro="" textlink="">
      <xdr:nvSpPr>
        <xdr:cNvPr id="74794" name="178Graph"/>
        <xdr:cNvSpPr/>
      </xdr:nvSpPr>
      <xdr:spPr>
        <a:xfrm>
          <a:off x="16349853" y="43862625"/>
          <a:ext cx="320167" cy="247650"/>
        </a:xfrm>
        <a:prstGeom prst="rect">
          <a:avLst/>
        </a:prstGeom>
        <a:gradFill flip="none" rotWithShape="1">
          <a:gsLst>
            <a:gs pos="0">
              <a:srgbClr val="4C6680"/>
            </a:gs>
            <a:gs pos="50000">
              <a:srgbClr val="FFFFFF"/>
            </a:gs>
            <a:gs pos="100000">
              <a:srgbClr val="CCE6FF"/>
            </a:gs>
          </a:gsLst>
          <a:lin ang="5400000" scaled="1"/>
          <a:tileRect/>
        </a:gra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kumimoji="1" lang="ja-JP" altLang="en-US" sz="1000">
              <a:solidFill>
                <a:srgbClr val="000000"/>
              </a:solidFill>
            </a:rPr>
            <a:t>出荷期限超え見込みレポート</a:t>
          </a:r>
          <a:r>
            <a:rPr kumimoji="1" lang="en-US" altLang="ja-JP" sz="1000">
              <a:solidFill>
                <a:srgbClr val="000000"/>
              </a:solidFill>
            </a:rPr>
            <a:t>(1/12</a:t>
          </a:r>
          <a:r>
            <a:rPr kumimoji="1" lang="ja-JP" altLang="en-US" sz="1000">
              <a:solidFill>
                <a:srgbClr val="000000"/>
              </a:solidFill>
            </a:rPr>
            <a:t>～</a:t>
          </a:r>
          <a:r>
            <a:rPr kumimoji="1" lang="en-US" altLang="ja-JP" sz="1000">
              <a:solidFill>
                <a:srgbClr val="000000"/>
              </a:solidFill>
            </a:rPr>
            <a:t>1/17)</a:t>
          </a:r>
          <a:endParaRPr kumimoji="1" lang="ja-JP" altLang="en-US" sz="1000">
            <a:solidFill>
              <a:srgbClr val="000000"/>
            </a:solidFill>
          </a:endParaRPr>
        </a:p>
      </xdr:txBody>
    </xdr:sp>
    <xdr:clientData/>
  </xdr:twoCellAnchor>
  <xdr:twoCellAnchor>
    <xdr:from>
      <xdr:col>29</xdr:col>
      <xdr:colOff>224028</xdr:colOff>
      <xdr:row>178</xdr:row>
      <xdr:rowOff>85725</xdr:rowOff>
    </xdr:from>
    <xdr:to>
      <xdr:col>29</xdr:col>
      <xdr:colOff>272162</xdr:colOff>
      <xdr:row>178</xdr:row>
      <xdr:rowOff>161925</xdr:rowOff>
    </xdr:to>
    <xdr:sp macro="" textlink="">
      <xdr:nvSpPr>
        <xdr:cNvPr id="74795" name="179Graph"/>
        <xdr:cNvSpPr/>
      </xdr:nvSpPr>
      <xdr:spPr>
        <a:xfrm>
          <a:off x="16349853" y="44196000"/>
          <a:ext cx="48134"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60833</xdr:colOff>
      <xdr:row>178</xdr:row>
      <xdr:rowOff>161925</xdr:rowOff>
    </xdr:from>
    <xdr:to>
      <xdr:col>29</xdr:col>
      <xdr:colOff>108967</xdr:colOff>
      <xdr:row>178</xdr:row>
      <xdr:rowOff>200025</xdr:rowOff>
    </xdr:to>
    <xdr:sp macro="" textlink="">
      <xdr:nvSpPr>
        <xdr:cNvPr id="74796" name="179Results"/>
        <xdr:cNvSpPr/>
      </xdr:nvSpPr>
      <xdr:spPr>
        <a:xfrm>
          <a:off x="16186658" y="44272200"/>
          <a:ext cx="48134"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284862</xdr:colOff>
      <xdr:row>178</xdr:row>
      <xdr:rowOff>44450</xdr:rowOff>
    </xdr:from>
    <xdr:to>
      <xdr:col>30</xdr:col>
      <xdr:colOff>361062</xdr:colOff>
      <xdr:row>178</xdr:row>
      <xdr:rowOff>215900</xdr:rowOff>
    </xdr:to>
    <xdr:sp macro="" textlink="">
      <xdr:nvSpPr>
        <xdr:cNvPr id="74797" name="179EndPoint"/>
        <xdr:cNvSpPr txBox="1"/>
      </xdr:nvSpPr>
      <xdr:spPr>
        <a:xfrm>
          <a:off x="16410687" y="441547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1/12</a:t>
          </a:r>
          <a:endParaRPr kumimoji="1" lang="ja-JP" altLang="en-US" sz="1000">
            <a:solidFill>
              <a:srgbClr val="000000"/>
            </a:solidFill>
          </a:endParaRPr>
        </a:p>
      </xdr:txBody>
    </xdr:sp>
    <xdr:clientData/>
  </xdr:twoCellAnchor>
  <xdr:twoCellAnchor>
    <xdr:from>
      <xdr:col>29</xdr:col>
      <xdr:colOff>224028</xdr:colOff>
      <xdr:row>179</xdr:row>
      <xdr:rowOff>85725</xdr:rowOff>
    </xdr:from>
    <xdr:to>
      <xdr:col>30</xdr:col>
      <xdr:colOff>54356</xdr:colOff>
      <xdr:row>179</xdr:row>
      <xdr:rowOff>161925</xdr:rowOff>
    </xdr:to>
    <xdr:sp macro="" textlink="">
      <xdr:nvSpPr>
        <xdr:cNvPr id="74798" name="180Graph"/>
        <xdr:cNvSpPr/>
      </xdr:nvSpPr>
      <xdr:spPr>
        <a:xfrm>
          <a:off x="16349853" y="44443650"/>
          <a:ext cx="211328"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60833</xdr:colOff>
      <xdr:row>179</xdr:row>
      <xdr:rowOff>161925</xdr:rowOff>
    </xdr:from>
    <xdr:to>
      <xdr:col>29</xdr:col>
      <xdr:colOff>108967</xdr:colOff>
      <xdr:row>179</xdr:row>
      <xdr:rowOff>200025</xdr:rowOff>
    </xdr:to>
    <xdr:sp macro="" textlink="">
      <xdr:nvSpPr>
        <xdr:cNvPr id="74799" name="180Results"/>
        <xdr:cNvSpPr/>
      </xdr:nvSpPr>
      <xdr:spPr>
        <a:xfrm>
          <a:off x="16186658" y="44519850"/>
          <a:ext cx="48134"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67183</xdr:colOff>
      <xdr:row>179</xdr:row>
      <xdr:rowOff>44450</xdr:rowOff>
    </xdr:from>
    <xdr:to>
      <xdr:col>31</xdr:col>
      <xdr:colOff>143383</xdr:colOff>
      <xdr:row>179</xdr:row>
      <xdr:rowOff>215900</xdr:rowOff>
    </xdr:to>
    <xdr:sp macro="" textlink="">
      <xdr:nvSpPr>
        <xdr:cNvPr id="74800" name="180EndPoint"/>
        <xdr:cNvSpPr txBox="1"/>
      </xdr:nvSpPr>
      <xdr:spPr>
        <a:xfrm>
          <a:off x="16574008" y="444023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1/15</a:t>
          </a:r>
          <a:endParaRPr kumimoji="1" lang="ja-JP" altLang="en-US" sz="1000">
            <a:solidFill>
              <a:srgbClr val="000000"/>
            </a:solidFill>
          </a:endParaRPr>
        </a:p>
      </xdr:txBody>
    </xdr:sp>
    <xdr:clientData/>
  </xdr:twoCellAnchor>
  <xdr:twoCellAnchor>
    <xdr:from>
      <xdr:col>29</xdr:col>
      <xdr:colOff>224028</xdr:colOff>
      <xdr:row>180</xdr:row>
      <xdr:rowOff>85725</xdr:rowOff>
    </xdr:from>
    <xdr:to>
      <xdr:col>29</xdr:col>
      <xdr:colOff>272162</xdr:colOff>
      <xdr:row>180</xdr:row>
      <xdr:rowOff>161925</xdr:rowOff>
    </xdr:to>
    <xdr:sp macro="" textlink="">
      <xdr:nvSpPr>
        <xdr:cNvPr id="74801" name="181Graph"/>
        <xdr:cNvSpPr/>
      </xdr:nvSpPr>
      <xdr:spPr>
        <a:xfrm>
          <a:off x="16349853" y="44691300"/>
          <a:ext cx="48134"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60833</xdr:colOff>
      <xdr:row>180</xdr:row>
      <xdr:rowOff>161925</xdr:rowOff>
    </xdr:from>
    <xdr:to>
      <xdr:col>29</xdr:col>
      <xdr:colOff>108967</xdr:colOff>
      <xdr:row>180</xdr:row>
      <xdr:rowOff>200025</xdr:rowOff>
    </xdr:to>
    <xdr:sp macro="" textlink="">
      <xdr:nvSpPr>
        <xdr:cNvPr id="74802" name="181Results"/>
        <xdr:cNvSpPr/>
      </xdr:nvSpPr>
      <xdr:spPr>
        <a:xfrm>
          <a:off x="16186658" y="44767500"/>
          <a:ext cx="48134"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284862</xdr:colOff>
      <xdr:row>180</xdr:row>
      <xdr:rowOff>44450</xdr:rowOff>
    </xdr:from>
    <xdr:to>
      <xdr:col>30</xdr:col>
      <xdr:colOff>361062</xdr:colOff>
      <xdr:row>180</xdr:row>
      <xdr:rowOff>215900</xdr:rowOff>
    </xdr:to>
    <xdr:sp macro="" textlink="">
      <xdr:nvSpPr>
        <xdr:cNvPr id="74803" name="181EndPoint"/>
        <xdr:cNvSpPr txBox="1"/>
      </xdr:nvSpPr>
      <xdr:spPr>
        <a:xfrm>
          <a:off x="16410687" y="446500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1/12</a:t>
          </a:r>
          <a:endParaRPr kumimoji="1" lang="ja-JP" altLang="en-US" sz="1000">
            <a:solidFill>
              <a:srgbClr val="000000"/>
            </a:solidFill>
          </a:endParaRPr>
        </a:p>
      </xdr:txBody>
    </xdr:sp>
    <xdr:clientData/>
  </xdr:twoCellAnchor>
  <xdr:twoCellAnchor>
    <xdr:from>
      <xdr:col>30</xdr:col>
      <xdr:colOff>219075</xdr:colOff>
      <xdr:row>179</xdr:row>
      <xdr:rowOff>79277</xdr:rowOff>
    </xdr:from>
    <xdr:to>
      <xdr:col>33</xdr:col>
      <xdr:colOff>58010</xdr:colOff>
      <xdr:row>179</xdr:row>
      <xdr:rowOff>238027</xdr:rowOff>
    </xdr:to>
    <xdr:sp macro="" textlink="">
      <xdr:nvSpPr>
        <xdr:cNvPr id="74804" name="181Comment"/>
        <xdr:cNvSpPr txBox="1"/>
      </xdr:nvSpPr>
      <xdr:spPr>
        <a:xfrm>
          <a:off x="16725900" y="44437202"/>
          <a:ext cx="981935" cy="158750"/>
        </a:xfrm>
        <a:prstGeom prst="rect">
          <a:avLst/>
        </a:prstGeom>
        <a:solidFill>
          <a:schemeClr val="lt1">
            <a:alpha val="10000"/>
          </a:scheme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spAutoFit/>
        </a:bodyPr>
        <a:lstStyle/>
        <a:p>
          <a:pPr algn="l"/>
          <a:r>
            <a:rPr kumimoji="1" lang="ja-JP" altLang="en-US" sz="900" b="0" i="0" u="none">
              <a:latin typeface="Meiryo UI"/>
            </a:rPr>
            <a:t>画面要件シート・
入出力定義書シート
</a:t>
          </a:r>
        </a:p>
      </xdr:txBody>
    </xdr:sp>
    <xdr:clientData/>
  </xdr:twoCellAnchor>
  <xdr:twoCellAnchor>
    <xdr:from>
      <xdr:col>30</xdr:col>
      <xdr:colOff>6350</xdr:colOff>
      <xdr:row>181</xdr:row>
      <xdr:rowOff>85725</xdr:rowOff>
    </xdr:from>
    <xdr:to>
      <xdr:col>30</xdr:col>
      <xdr:colOff>54483</xdr:colOff>
      <xdr:row>181</xdr:row>
      <xdr:rowOff>161925</xdr:rowOff>
    </xdr:to>
    <xdr:sp macro="" textlink="">
      <xdr:nvSpPr>
        <xdr:cNvPr id="74805" name="182Graph"/>
        <xdr:cNvSpPr/>
      </xdr:nvSpPr>
      <xdr:spPr>
        <a:xfrm>
          <a:off x="16513175" y="44938950"/>
          <a:ext cx="48133"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60833</xdr:colOff>
      <xdr:row>181</xdr:row>
      <xdr:rowOff>161925</xdr:rowOff>
    </xdr:from>
    <xdr:to>
      <xdr:col>29</xdr:col>
      <xdr:colOff>108967</xdr:colOff>
      <xdr:row>181</xdr:row>
      <xdr:rowOff>200025</xdr:rowOff>
    </xdr:to>
    <xdr:sp macro="" textlink="">
      <xdr:nvSpPr>
        <xdr:cNvPr id="74806" name="182Results"/>
        <xdr:cNvSpPr/>
      </xdr:nvSpPr>
      <xdr:spPr>
        <a:xfrm>
          <a:off x="16186658" y="45015150"/>
          <a:ext cx="48134"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67183</xdr:colOff>
      <xdr:row>181</xdr:row>
      <xdr:rowOff>44450</xdr:rowOff>
    </xdr:from>
    <xdr:to>
      <xdr:col>31</xdr:col>
      <xdr:colOff>143383</xdr:colOff>
      <xdr:row>181</xdr:row>
      <xdr:rowOff>215900</xdr:rowOff>
    </xdr:to>
    <xdr:sp macro="" textlink="">
      <xdr:nvSpPr>
        <xdr:cNvPr id="74807" name="182EndPoint"/>
        <xdr:cNvSpPr txBox="1"/>
      </xdr:nvSpPr>
      <xdr:spPr>
        <a:xfrm>
          <a:off x="16574008" y="448976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1/15</a:t>
          </a:r>
          <a:endParaRPr kumimoji="1" lang="ja-JP" altLang="en-US" sz="1000">
            <a:solidFill>
              <a:srgbClr val="000000"/>
            </a:solidFill>
          </a:endParaRPr>
        </a:p>
      </xdr:txBody>
    </xdr:sp>
    <xdr:clientData/>
  </xdr:twoCellAnchor>
  <xdr:twoCellAnchor>
    <xdr:from>
      <xdr:col>31</xdr:col>
      <xdr:colOff>3175</xdr:colOff>
      <xdr:row>180</xdr:row>
      <xdr:rowOff>79277</xdr:rowOff>
    </xdr:from>
    <xdr:to>
      <xdr:col>33</xdr:col>
      <xdr:colOff>223110</xdr:colOff>
      <xdr:row>180</xdr:row>
      <xdr:rowOff>238027</xdr:rowOff>
    </xdr:to>
    <xdr:sp macro="" textlink="">
      <xdr:nvSpPr>
        <xdr:cNvPr id="74808" name="182Comment"/>
        <xdr:cNvSpPr txBox="1"/>
      </xdr:nvSpPr>
      <xdr:spPr>
        <a:xfrm>
          <a:off x="16891000" y="44684852"/>
          <a:ext cx="981935" cy="158750"/>
        </a:xfrm>
        <a:prstGeom prst="rect">
          <a:avLst/>
        </a:prstGeom>
        <a:solidFill>
          <a:schemeClr val="lt1">
            <a:alpha val="10000"/>
          </a:scheme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spAutoFit/>
        </a:bodyPr>
        <a:lstStyle/>
        <a:p>
          <a:pPr algn="l"/>
          <a:r>
            <a:rPr kumimoji="1" lang="ja-JP" altLang="en-US" sz="900" b="0" i="0" u="none">
              <a:latin typeface="Meiryo UI"/>
            </a:rPr>
            <a:t>画面要件シート・
入出力定義書シート
</a:t>
          </a:r>
        </a:p>
      </xdr:txBody>
    </xdr:sp>
    <xdr:clientData/>
  </xdr:twoCellAnchor>
  <xdr:twoCellAnchor>
    <xdr:from>
      <xdr:col>29</xdr:col>
      <xdr:colOff>224028</xdr:colOff>
      <xdr:row>182</xdr:row>
      <xdr:rowOff>85725</xdr:rowOff>
    </xdr:from>
    <xdr:to>
      <xdr:col>29</xdr:col>
      <xdr:colOff>272162</xdr:colOff>
      <xdr:row>182</xdr:row>
      <xdr:rowOff>161925</xdr:rowOff>
    </xdr:to>
    <xdr:sp macro="" textlink="">
      <xdr:nvSpPr>
        <xdr:cNvPr id="74809" name="183Graph"/>
        <xdr:cNvSpPr/>
      </xdr:nvSpPr>
      <xdr:spPr>
        <a:xfrm>
          <a:off x="16349853" y="45186600"/>
          <a:ext cx="48134"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60833</xdr:colOff>
      <xdr:row>182</xdr:row>
      <xdr:rowOff>161925</xdr:rowOff>
    </xdr:from>
    <xdr:to>
      <xdr:col>29</xdr:col>
      <xdr:colOff>108967</xdr:colOff>
      <xdr:row>182</xdr:row>
      <xdr:rowOff>200025</xdr:rowOff>
    </xdr:to>
    <xdr:sp macro="" textlink="">
      <xdr:nvSpPr>
        <xdr:cNvPr id="74810" name="183Results"/>
        <xdr:cNvSpPr/>
      </xdr:nvSpPr>
      <xdr:spPr>
        <a:xfrm>
          <a:off x="16186658" y="45262800"/>
          <a:ext cx="48134"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284862</xdr:colOff>
      <xdr:row>182</xdr:row>
      <xdr:rowOff>44450</xdr:rowOff>
    </xdr:from>
    <xdr:to>
      <xdr:col>30</xdr:col>
      <xdr:colOff>361062</xdr:colOff>
      <xdr:row>182</xdr:row>
      <xdr:rowOff>215900</xdr:rowOff>
    </xdr:to>
    <xdr:sp macro="" textlink="">
      <xdr:nvSpPr>
        <xdr:cNvPr id="74811" name="183EndPoint"/>
        <xdr:cNvSpPr txBox="1"/>
      </xdr:nvSpPr>
      <xdr:spPr>
        <a:xfrm>
          <a:off x="16410687" y="451453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1/12</a:t>
          </a:r>
          <a:endParaRPr kumimoji="1" lang="ja-JP" altLang="en-US" sz="1000">
            <a:solidFill>
              <a:srgbClr val="000000"/>
            </a:solidFill>
          </a:endParaRPr>
        </a:p>
      </xdr:txBody>
    </xdr:sp>
    <xdr:clientData/>
  </xdr:twoCellAnchor>
  <xdr:twoCellAnchor>
    <xdr:from>
      <xdr:col>29</xdr:col>
      <xdr:colOff>224028</xdr:colOff>
      <xdr:row>183</xdr:row>
      <xdr:rowOff>85725</xdr:rowOff>
    </xdr:from>
    <xdr:to>
      <xdr:col>29</xdr:col>
      <xdr:colOff>272162</xdr:colOff>
      <xdr:row>183</xdr:row>
      <xdr:rowOff>161925</xdr:rowOff>
    </xdr:to>
    <xdr:sp macro="" textlink="">
      <xdr:nvSpPr>
        <xdr:cNvPr id="74812" name="184Graph"/>
        <xdr:cNvSpPr/>
      </xdr:nvSpPr>
      <xdr:spPr>
        <a:xfrm>
          <a:off x="16349853" y="45434250"/>
          <a:ext cx="48134"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60833</xdr:colOff>
      <xdr:row>183</xdr:row>
      <xdr:rowOff>161925</xdr:rowOff>
    </xdr:from>
    <xdr:to>
      <xdr:col>29</xdr:col>
      <xdr:colOff>108967</xdr:colOff>
      <xdr:row>183</xdr:row>
      <xdr:rowOff>200025</xdr:rowOff>
    </xdr:to>
    <xdr:sp macro="" textlink="">
      <xdr:nvSpPr>
        <xdr:cNvPr id="74813" name="184Results"/>
        <xdr:cNvSpPr/>
      </xdr:nvSpPr>
      <xdr:spPr>
        <a:xfrm>
          <a:off x="16186658" y="45510450"/>
          <a:ext cx="48134"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284862</xdr:colOff>
      <xdr:row>183</xdr:row>
      <xdr:rowOff>44450</xdr:rowOff>
    </xdr:from>
    <xdr:to>
      <xdr:col>30</xdr:col>
      <xdr:colOff>361062</xdr:colOff>
      <xdr:row>183</xdr:row>
      <xdr:rowOff>215900</xdr:rowOff>
    </xdr:to>
    <xdr:sp macro="" textlink="">
      <xdr:nvSpPr>
        <xdr:cNvPr id="74814" name="184EndPoint"/>
        <xdr:cNvSpPr txBox="1"/>
      </xdr:nvSpPr>
      <xdr:spPr>
        <a:xfrm>
          <a:off x="16410687" y="453929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1/12</a:t>
          </a:r>
          <a:endParaRPr kumimoji="1" lang="ja-JP" altLang="en-US" sz="1000">
            <a:solidFill>
              <a:srgbClr val="000000"/>
            </a:solidFill>
          </a:endParaRPr>
        </a:p>
      </xdr:txBody>
    </xdr:sp>
    <xdr:clientData/>
  </xdr:twoCellAnchor>
  <xdr:twoCellAnchor>
    <xdr:from>
      <xdr:col>29</xdr:col>
      <xdr:colOff>224028</xdr:colOff>
      <xdr:row>184</xdr:row>
      <xdr:rowOff>85725</xdr:rowOff>
    </xdr:from>
    <xdr:to>
      <xdr:col>29</xdr:col>
      <xdr:colOff>272162</xdr:colOff>
      <xdr:row>184</xdr:row>
      <xdr:rowOff>161925</xdr:rowOff>
    </xdr:to>
    <xdr:sp macro="" textlink="">
      <xdr:nvSpPr>
        <xdr:cNvPr id="74815" name="185Graph"/>
        <xdr:cNvSpPr/>
      </xdr:nvSpPr>
      <xdr:spPr>
        <a:xfrm>
          <a:off x="16349853" y="45681900"/>
          <a:ext cx="48134"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60833</xdr:colOff>
      <xdr:row>184</xdr:row>
      <xdr:rowOff>161925</xdr:rowOff>
    </xdr:from>
    <xdr:to>
      <xdr:col>29</xdr:col>
      <xdr:colOff>108967</xdr:colOff>
      <xdr:row>184</xdr:row>
      <xdr:rowOff>200025</xdr:rowOff>
    </xdr:to>
    <xdr:sp macro="" textlink="">
      <xdr:nvSpPr>
        <xdr:cNvPr id="74816" name="185Results"/>
        <xdr:cNvSpPr/>
      </xdr:nvSpPr>
      <xdr:spPr>
        <a:xfrm>
          <a:off x="16186658" y="45758100"/>
          <a:ext cx="48134"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284862</xdr:colOff>
      <xdr:row>184</xdr:row>
      <xdr:rowOff>44450</xdr:rowOff>
    </xdr:from>
    <xdr:to>
      <xdr:col>30</xdr:col>
      <xdr:colOff>361062</xdr:colOff>
      <xdr:row>184</xdr:row>
      <xdr:rowOff>215900</xdr:rowOff>
    </xdr:to>
    <xdr:sp macro="" textlink="">
      <xdr:nvSpPr>
        <xdr:cNvPr id="74817" name="185EndPoint"/>
        <xdr:cNvSpPr txBox="1"/>
      </xdr:nvSpPr>
      <xdr:spPr>
        <a:xfrm>
          <a:off x="16410687" y="456406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1/12</a:t>
          </a:r>
          <a:endParaRPr kumimoji="1" lang="ja-JP" altLang="en-US" sz="1000">
            <a:solidFill>
              <a:srgbClr val="000000"/>
            </a:solidFill>
          </a:endParaRPr>
        </a:p>
      </xdr:txBody>
    </xdr:sp>
    <xdr:clientData/>
  </xdr:twoCellAnchor>
  <xdr:twoCellAnchor>
    <xdr:from>
      <xdr:col>30</xdr:col>
      <xdr:colOff>6350</xdr:colOff>
      <xdr:row>185</xdr:row>
      <xdr:rowOff>85725</xdr:rowOff>
    </xdr:from>
    <xdr:to>
      <xdr:col>30</xdr:col>
      <xdr:colOff>54483</xdr:colOff>
      <xdr:row>185</xdr:row>
      <xdr:rowOff>161925</xdr:rowOff>
    </xdr:to>
    <xdr:sp macro="" textlink="">
      <xdr:nvSpPr>
        <xdr:cNvPr id="74818" name="186Graph"/>
        <xdr:cNvSpPr/>
      </xdr:nvSpPr>
      <xdr:spPr>
        <a:xfrm>
          <a:off x="16513175" y="45929550"/>
          <a:ext cx="48133"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60833</xdr:colOff>
      <xdr:row>185</xdr:row>
      <xdr:rowOff>161925</xdr:rowOff>
    </xdr:from>
    <xdr:to>
      <xdr:col>29</xdr:col>
      <xdr:colOff>108967</xdr:colOff>
      <xdr:row>185</xdr:row>
      <xdr:rowOff>200025</xdr:rowOff>
    </xdr:to>
    <xdr:sp macro="" textlink="">
      <xdr:nvSpPr>
        <xdr:cNvPr id="74819" name="186Results"/>
        <xdr:cNvSpPr/>
      </xdr:nvSpPr>
      <xdr:spPr>
        <a:xfrm>
          <a:off x="16186658" y="46005750"/>
          <a:ext cx="48134"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67183</xdr:colOff>
      <xdr:row>185</xdr:row>
      <xdr:rowOff>44450</xdr:rowOff>
    </xdr:from>
    <xdr:to>
      <xdr:col>31</xdr:col>
      <xdr:colOff>143383</xdr:colOff>
      <xdr:row>185</xdr:row>
      <xdr:rowOff>215900</xdr:rowOff>
    </xdr:to>
    <xdr:sp macro="" textlink="">
      <xdr:nvSpPr>
        <xdr:cNvPr id="74820" name="186EndPoint"/>
        <xdr:cNvSpPr txBox="1"/>
      </xdr:nvSpPr>
      <xdr:spPr>
        <a:xfrm>
          <a:off x="16574008" y="458882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1/15</a:t>
          </a:r>
          <a:endParaRPr kumimoji="1" lang="ja-JP" altLang="en-US" sz="1000">
            <a:solidFill>
              <a:srgbClr val="000000"/>
            </a:solidFill>
          </a:endParaRPr>
        </a:p>
      </xdr:txBody>
    </xdr:sp>
    <xdr:clientData/>
  </xdr:twoCellAnchor>
  <xdr:twoCellAnchor>
    <xdr:from>
      <xdr:col>30</xdr:col>
      <xdr:colOff>60833</xdr:colOff>
      <xdr:row>186</xdr:row>
      <xdr:rowOff>85725</xdr:rowOff>
    </xdr:from>
    <xdr:to>
      <xdr:col>30</xdr:col>
      <xdr:colOff>108967</xdr:colOff>
      <xdr:row>186</xdr:row>
      <xdr:rowOff>161925</xdr:rowOff>
    </xdr:to>
    <xdr:sp macro="" textlink="">
      <xdr:nvSpPr>
        <xdr:cNvPr id="74821" name="187Graph"/>
        <xdr:cNvSpPr/>
      </xdr:nvSpPr>
      <xdr:spPr>
        <a:xfrm>
          <a:off x="16567658" y="46177200"/>
          <a:ext cx="48134"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115188</xdr:colOff>
      <xdr:row>186</xdr:row>
      <xdr:rowOff>161925</xdr:rowOff>
    </xdr:from>
    <xdr:to>
      <xdr:col>29</xdr:col>
      <xdr:colOff>163322</xdr:colOff>
      <xdr:row>186</xdr:row>
      <xdr:rowOff>200025</xdr:rowOff>
    </xdr:to>
    <xdr:sp macro="" textlink="">
      <xdr:nvSpPr>
        <xdr:cNvPr id="74822" name="187Results"/>
        <xdr:cNvSpPr/>
      </xdr:nvSpPr>
      <xdr:spPr>
        <a:xfrm>
          <a:off x="16241013" y="46253400"/>
          <a:ext cx="48134"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121538</xdr:colOff>
      <xdr:row>186</xdr:row>
      <xdr:rowOff>44450</xdr:rowOff>
    </xdr:from>
    <xdr:to>
      <xdr:col>31</xdr:col>
      <xdr:colOff>197738</xdr:colOff>
      <xdr:row>186</xdr:row>
      <xdr:rowOff>215900</xdr:rowOff>
    </xdr:to>
    <xdr:sp macro="" textlink="">
      <xdr:nvSpPr>
        <xdr:cNvPr id="74823" name="187EndPoint"/>
        <xdr:cNvSpPr txBox="1"/>
      </xdr:nvSpPr>
      <xdr:spPr>
        <a:xfrm>
          <a:off x="16628363" y="461359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1/16</a:t>
          </a:r>
          <a:endParaRPr kumimoji="1" lang="ja-JP" altLang="en-US" sz="1000">
            <a:solidFill>
              <a:srgbClr val="000000"/>
            </a:solidFill>
          </a:endParaRPr>
        </a:p>
      </xdr:txBody>
    </xdr:sp>
    <xdr:clientData/>
  </xdr:twoCellAnchor>
  <xdr:twoCellAnchor>
    <xdr:from>
      <xdr:col>30</xdr:col>
      <xdr:colOff>60833</xdr:colOff>
      <xdr:row>187</xdr:row>
      <xdr:rowOff>85725</xdr:rowOff>
    </xdr:from>
    <xdr:to>
      <xdr:col>30</xdr:col>
      <xdr:colOff>108967</xdr:colOff>
      <xdr:row>187</xdr:row>
      <xdr:rowOff>161925</xdr:rowOff>
    </xdr:to>
    <xdr:sp macro="" textlink="">
      <xdr:nvSpPr>
        <xdr:cNvPr id="74824" name="188Graph"/>
        <xdr:cNvSpPr/>
      </xdr:nvSpPr>
      <xdr:spPr>
        <a:xfrm>
          <a:off x="16567658" y="46424850"/>
          <a:ext cx="48134"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115188</xdr:colOff>
      <xdr:row>187</xdr:row>
      <xdr:rowOff>161925</xdr:rowOff>
    </xdr:from>
    <xdr:to>
      <xdr:col>29</xdr:col>
      <xdr:colOff>163322</xdr:colOff>
      <xdr:row>187</xdr:row>
      <xdr:rowOff>200025</xdr:rowOff>
    </xdr:to>
    <xdr:sp macro="" textlink="">
      <xdr:nvSpPr>
        <xdr:cNvPr id="74825" name="188Results"/>
        <xdr:cNvSpPr/>
      </xdr:nvSpPr>
      <xdr:spPr>
        <a:xfrm>
          <a:off x="16241013" y="46501050"/>
          <a:ext cx="48134"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121538</xdr:colOff>
      <xdr:row>187</xdr:row>
      <xdr:rowOff>44450</xdr:rowOff>
    </xdr:from>
    <xdr:to>
      <xdr:col>31</xdr:col>
      <xdr:colOff>197738</xdr:colOff>
      <xdr:row>187</xdr:row>
      <xdr:rowOff>215900</xdr:rowOff>
    </xdr:to>
    <xdr:sp macro="" textlink="">
      <xdr:nvSpPr>
        <xdr:cNvPr id="74826" name="188EndPoint"/>
        <xdr:cNvSpPr txBox="1"/>
      </xdr:nvSpPr>
      <xdr:spPr>
        <a:xfrm>
          <a:off x="16628363" y="463835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1/16</a:t>
          </a:r>
          <a:endParaRPr kumimoji="1" lang="ja-JP" altLang="en-US" sz="1000">
            <a:solidFill>
              <a:srgbClr val="000000"/>
            </a:solidFill>
          </a:endParaRPr>
        </a:p>
      </xdr:txBody>
    </xdr:sp>
    <xdr:clientData/>
  </xdr:twoCellAnchor>
  <xdr:twoCellAnchor>
    <xdr:from>
      <xdr:col>30</xdr:col>
      <xdr:colOff>115188</xdr:colOff>
      <xdr:row>188</xdr:row>
      <xdr:rowOff>85725</xdr:rowOff>
    </xdr:from>
    <xdr:to>
      <xdr:col>30</xdr:col>
      <xdr:colOff>163322</xdr:colOff>
      <xdr:row>188</xdr:row>
      <xdr:rowOff>161925</xdr:rowOff>
    </xdr:to>
    <xdr:sp macro="" textlink="">
      <xdr:nvSpPr>
        <xdr:cNvPr id="74827" name="189Graph"/>
        <xdr:cNvSpPr/>
      </xdr:nvSpPr>
      <xdr:spPr>
        <a:xfrm>
          <a:off x="16622013" y="46672500"/>
          <a:ext cx="48134" cy="76200"/>
        </a:xfrm>
        <a:prstGeom prst="rect">
          <a:avLst/>
        </a:prstGeom>
        <a:pattFill prst="ltUpDiag">
          <a:fgClr>
            <a:srgbClr val="008000"/>
          </a:fgClr>
          <a:bgClr>
            <a:srgbClr val="80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115188</xdr:colOff>
      <xdr:row>188</xdr:row>
      <xdr:rowOff>161925</xdr:rowOff>
    </xdr:from>
    <xdr:to>
      <xdr:col>29</xdr:col>
      <xdr:colOff>163322</xdr:colOff>
      <xdr:row>188</xdr:row>
      <xdr:rowOff>200025</xdr:rowOff>
    </xdr:to>
    <xdr:sp macro="" textlink="">
      <xdr:nvSpPr>
        <xdr:cNvPr id="74828" name="189Results"/>
        <xdr:cNvSpPr/>
      </xdr:nvSpPr>
      <xdr:spPr>
        <a:xfrm>
          <a:off x="16241013" y="46748700"/>
          <a:ext cx="48134" cy="38100"/>
        </a:xfrm>
        <a:prstGeom prst="rect">
          <a:avLst/>
        </a:prstGeom>
        <a:solidFill>
          <a:srgbClr val="008000"/>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176022</xdr:colOff>
      <xdr:row>188</xdr:row>
      <xdr:rowOff>44450</xdr:rowOff>
    </xdr:from>
    <xdr:to>
      <xdr:col>31</xdr:col>
      <xdr:colOff>252222</xdr:colOff>
      <xdr:row>188</xdr:row>
      <xdr:rowOff>215900</xdr:rowOff>
    </xdr:to>
    <xdr:sp macro="" textlink="">
      <xdr:nvSpPr>
        <xdr:cNvPr id="74829" name="189EndPoint"/>
        <xdr:cNvSpPr txBox="1"/>
      </xdr:nvSpPr>
      <xdr:spPr>
        <a:xfrm>
          <a:off x="16682847" y="466312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1/17</a:t>
          </a:r>
          <a:endParaRPr kumimoji="1" lang="ja-JP" altLang="en-US" sz="1000">
            <a:solidFill>
              <a:srgbClr val="000000"/>
            </a:solidFill>
          </a:endParaRPr>
        </a:p>
      </xdr:txBody>
    </xdr:sp>
    <xdr:clientData/>
  </xdr:twoCellAnchor>
  <xdr:twoCellAnchor>
    <xdr:from>
      <xdr:col>30</xdr:col>
      <xdr:colOff>169672</xdr:colOff>
      <xdr:row>189</xdr:row>
      <xdr:rowOff>0</xdr:rowOff>
    </xdr:from>
    <xdr:to>
      <xdr:col>31</xdr:col>
      <xdr:colOff>108838</xdr:colOff>
      <xdr:row>190</xdr:row>
      <xdr:rowOff>0</xdr:rowOff>
    </xdr:to>
    <xdr:sp macro="" textlink="">
      <xdr:nvSpPr>
        <xdr:cNvPr id="74830" name="190Graph"/>
        <xdr:cNvSpPr/>
      </xdr:nvSpPr>
      <xdr:spPr>
        <a:xfrm>
          <a:off x="16676497" y="46834425"/>
          <a:ext cx="320166" cy="247650"/>
        </a:xfrm>
        <a:prstGeom prst="rect">
          <a:avLst/>
        </a:prstGeom>
        <a:gradFill flip="none" rotWithShape="1">
          <a:gsLst>
            <a:gs pos="0">
              <a:srgbClr val="4C6680"/>
            </a:gs>
            <a:gs pos="50000">
              <a:srgbClr val="FFFFFF"/>
            </a:gs>
            <a:gs pos="100000">
              <a:srgbClr val="CCE6FF"/>
            </a:gs>
          </a:gsLst>
          <a:lin ang="5400000" scaled="1"/>
          <a:tileRect/>
        </a:gra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kumimoji="1" lang="ja-JP" altLang="en-US" sz="1000">
              <a:solidFill>
                <a:srgbClr val="000000"/>
              </a:solidFill>
            </a:rPr>
            <a:t>全社収支表</a:t>
          </a:r>
          <a:r>
            <a:rPr kumimoji="1" lang="en-US" altLang="ja-JP" sz="1000">
              <a:solidFill>
                <a:srgbClr val="000000"/>
              </a:solidFill>
            </a:rPr>
            <a:t>(1/18</a:t>
          </a:r>
          <a:r>
            <a:rPr kumimoji="1" lang="ja-JP" altLang="en-US" sz="1000">
              <a:solidFill>
                <a:srgbClr val="000000"/>
              </a:solidFill>
            </a:rPr>
            <a:t>～</a:t>
          </a:r>
          <a:r>
            <a:rPr kumimoji="1" lang="en-US" altLang="ja-JP" sz="1000">
              <a:solidFill>
                <a:srgbClr val="000000"/>
              </a:solidFill>
            </a:rPr>
            <a:t>1/23)</a:t>
          </a:r>
          <a:endParaRPr kumimoji="1" lang="ja-JP" altLang="en-US" sz="1000">
            <a:solidFill>
              <a:srgbClr val="000000"/>
            </a:solidFill>
          </a:endParaRPr>
        </a:p>
      </xdr:txBody>
    </xdr:sp>
    <xdr:clientData/>
  </xdr:twoCellAnchor>
  <xdr:twoCellAnchor>
    <xdr:from>
      <xdr:col>30</xdr:col>
      <xdr:colOff>169672</xdr:colOff>
      <xdr:row>190</xdr:row>
      <xdr:rowOff>85725</xdr:rowOff>
    </xdr:from>
    <xdr:to>
      <xdr:col>30</xdr:col>
      <xdr:colOff>217805</xdr:colOff>
      <xdr:row>190</xdr:row>
      <xdr:rowOff>161925</xdr:rowOff>
    </xdr:to>
    <xdr:sp macro="" textlink="">
      <xdr:nvSpPr>
        <xdr:cNvPr id="74831" name="191Graph"/>
        <xdr:cNvSpPr/>
      </xdr:nvSpPr>
      <xdr:spPr>
        <a:xfrm>
          <a:off x="16676497" y="47167800"/>
          <a:ext cx="48133"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115188</xdr:colOff>
      <xdr:row>190</xdr:row>
      <xdr:rowOff>161925</xdr:rowOff>
    </xdr:from>
    <xdr:to>
      <xdr:col>30</xdr:col>
      <xdr:colOff>163322</xdr:colOff>
      <xdr:row>190</xdr:row>
      <xdr:rowOff>200025</xdr:rowOff>
    </xdr:to>
    <xdr:sp macro="" textlink="">
      <xdr:nvSpPr>
        <xdr:cNvPr id="74832" name="191Results"/>
        <xdr:cNvSpPr/>
      </xdr:nvSpPr>
      <xdr:spPr>
        <a:xfrm>
          <a:off x="16622013" y="47244000"/>
          <a:ext cx="48134"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230378</xdr:colOff>
      <xdr:row>190</xdr:row>
      <xdr:rowOff>44450</xdr:rowOff>
    </xdr:from>
    <xdr:to>
      <xdr:col>31</xdr:col>
      <xdr:colOff>306578</xdr:colOff>
      <xdr:row>190</xdr:row>
      <xdr:rowOff>215900</xdr:rowOff>
    </xdr:to>
    <xdr:sp macro="" textlink="">
      <xdr:nvSpPr>
        <xdr:cNvPr id="74833" name="191EndPoint"/>
        <xdr:cNvSpPr txBox="1"/>
      </xdr:nvSpPr>
      <xdr:spPr>
        <a:xfrm>
          <a:off x="16737203" y="471265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1/18</a:t>
          </a:r>
          <a:endParaRPr kumimoji="1" lang="ja-JP" altLang="en-US" sz="1000">
            <a:solidFill>
              <a:srgbClr val="000000"/>
            </a:solidFill>
          </a:endParaRPr>
        </a:p>
      </xdr:txBody>
    </xdr:sp>
    <xdr:clientData/>
  </xdr:twoCellAnchor>
  <xdr:twoCellAnchor>
    <xdr:from>
      <xdr:col>30</xdr:col>
      <xdr:colOff>169672</xdr:colOff>
      <xdr:row>191</xdr:row>
      <xdr:rowOff>85725</xdr:rowOff>
    </xdr:from>
    <xdr:to>
      <xdr:col>30</xdr:col>
      <xdr:colOff>272160</xdr:colOff>
      <xdr:row>191</xdr:row>
      <xdr:rowOff>161925</xdr:rowOff>
    </xdr:to>
    <xdr:sp macro="" textlink="">
      <xdr:nvSpPr>
        <xdr:cNvPr id="74834" name="192Graph"/>
        <xdr:cNvSpPr/>
      </xdr:nvSpPr>
      <xdr:spPr>
        <a:xfrm>
          <a:off x="16676497" y="47415450"/>
          <a:ext cx="102488"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115188</xdr:colOff>
      <xdr:row>191</xdr:row>
      <xdr:rowOff>161925</xdr:rowOff>
    </xdr:from>
    <xdr:to>
      <xdr:col>30</xdr:col>
      <xdr:colOff>217677</xdr:colOff>
      <xdr:row>191</xdr:row>
      <xdr:rowOff>200025</xdr:rowOff>
    </xdr:to>
    <xdr:sp macro="" textlink="">
      <xdr:nvSpPr>
        <xdr:cNvPr id="74835" name="192Results"/>
        <xdr:cNvSpPr/>
      </xdr:nvSpPr>
      <xdr:spPr>
        <a:xfrm>
          <a:off x="16622013" y="47491650"/>
          <a:ext cx="102489"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284862</xdr:colOff>
      <xdr:row>191</xdr:row>
      <xdr:rowOff>44450</xdr:rowOff>
    </xdr:from>
    <xdr:to>
      <xdr:col>31</xdr:col>
      <xdr:colOff>361062</xdr:colOff>
      <xdr:row>191</xdr:row>
      <xdr:rowOff>215900</xdr:rowOff>
    </xdr:to>
    <xdr:sp macro="" textlink="">
      <xdr:nvSpPr>
        <xdr:cNvPr id="74836" name="192EndPoint"/>
        <xdr:cNvSpPr txBox="1"/>
      </xdr:nvSpPr>
      <xdr:spPr>
        <a:xfrm>
          <a:off x="16791687" y="473741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1/19</a:t>
          </a:r>
          <a:endParaRPr kumimoji="1" lang="ja-JP" altLang="en-US" sz="1000">
            <a:solidFill>
              <a:srgbClr val="000000"/>
            </a:solidFill>
          </a:endParaRPr>
        </a:p>
      </xdr:txBody>
    </xdr:sp>
    <xdr:clientData/>
  </xdr:twoCellAnchor>
  <xdr:twoCellAnchor>
    <xdr:from>
      <xdr:col>30</xdr:col>
      <xdr:colOff>169672</xdr:colOff>
      <xdr:row>192</xdr:row>
      <xdr:rowOff>85725</xdr:rowOff>
    </xdr:from>
    <xdr:to>
      <xdr:col>30</xdr:col>
      <xdr:colOff>272160</xdr:colOff>
      <xdr:row>192</xdr:row>
      <xdr:rowOff>161925</xdr:rowOff>
    </xdr:to>
    <xdr:sp macro="" textlink="">
      <xdr:nvSpPr>
        <xdr:cNvPr id="74837" name="193Graph"/>
        <xdr:cNvSpPr/>
      </xdr:nvSpPr>
      <xdr:spPr>
        <a:xfrm>
          <a:off x="16676497" y="47663100"/>
          <a:ext cx="102488"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169672</xdr:colOff>
      <xdr:row>192</xdr:row>
      <xdr:rowOff>161925</xdr:rowOff>
    </xdr:from>
    <xdr:to>
      <xdr:col>30</xdr:col>
      <xdr:colOff>217805</xdr:colOff>
      <xdr:row>192</xdr:row>
      <xdr:rowOff>200025</xdr:rowOff>
    </xdr:to>
    <xdr:sp macro="" textlink="">
      <xdr:nvSpPr>
        <xdr:cNvPr id="74838" name="193Results"/>
        <xdr:cNvSpPr/>
      </xdr:nvSpPr>
      <xdr:spPr>
        <a:xfrm>
          <a:off x="16676497" y="47739300"/>
          <a:ext cx="48133"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284862</xdr:colOff>
      <xdr:row>192</xdr:row>
      <xdr:rowOff>44450</xdr:rowOff>
    </xdr:from>
    <xdr:to>
      <xdr:col>31</xdr:col>
      <xdr:colOff>361062</xdr:colOff>
      <xdr:row>192</xdr:row>
      <xdr:rowOff>215900</xdr:rowOff>
    </xdr:to>
    <xdr:sp macro="" textlink="">
      <xdr:nvSpPr>
        <xdr:cNvPr id="74839" name="193EndPoint"/>
        <xdr:cNvSpPr txBox="1"/>
      </xdr:nvSpPr>
      <xdr:spPr>
        <a:xfrm>
          <a:off x="16791687" y="476218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1/19</a:t>
          </a:r>
          <a:endParaRPr kumimoji="1" lang="ja-JP" altLang="en-US" sz="1000">
            <a:solidFill>
              <a:srgbClr val="000000"/>
            </a:solidFill>
          </a:endParaRPr>
        </a:p>
      </xdr:txBody>
    </xdr:sp>
    <xdr:clientData/>
  </xdr:twoCellAnchor>
  <xdr:twoCellAnchor>
    <xdr:from>
      <xdr:col>31</xdr:col>
      <xdr:colOff>219075</xdr:colOff>
      <xdr:row>191</xdr:row>
      <xdr:rowOff>79277</xdr:rowOff>
    </xdr:from>
    <xdr:to>
      <xdr:col>34</xdr:col>
      <xdr:colOff>58010</xdr:colOff>
      <xdr:row>191</xdr:row>
      <xdr:rowOff>238027</xdr:rowOff>
    </xdr:to>
    <xdr:sp macro="" textlink="">
      <xdr:nvSpPr>
        <xdr:cNvPr id="74840" name="193Comment"/>
        <xdr:cNvSpPr txBox="1"/>
      </xdr:nvSpPr>
      <xdr:spPr>
        <a:xfrm>
          <a:off x="17106900" y="47409002"/>
          <a:ext cx="981935" cy="158750"/>
        </a:xfrm>
        <a:prstGeom prst="rect">
          <a:avLst/>
        </a:prstGeom>
        <a:solidFill>
          <a:schemeClr val="lt1">
            <a:alpha val="10000"/>
          </a:scheme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spAutoFit/>
        </a:bodyPr>
        <a:lstStyle/>
        <a:p>
          <a:pPr algn="l"/>
          <a:r>
            <a:rPr kumimoji="1" lang="ja-JP" altLang="en-US" sz="900" b="0" i="0" u="none">
              <a:latin typeface="Meiryo UI"/>
            </a:rPr>
            <a:t>画面要件シート・
入出力定義書シート
</a:t>
          </a:r>
        </a:p>
      </xdr:txBody>
    </xdr:sp>
    <xdr:clientData/>
  </xdr:twoCellAnchor>
  <xdr:twoCellAnchor>
    <xdr:from>
      <xdr:col>30</xdr:col>
      <xdr:colOff>169672</xdr:colOff>
      <xdr:row>193</xdr:row>
      <xdr:rowOff>85725</xdr:rowOff>
    </xdr:from>
    <xdr:to>
      <xdr:col>30</xdr:col>
      <xdr:colOff>272160</xdr:colOff>
      <xdr:row>193</xdr:row>
      <xdr:rowOff>161925</xdr:rowOff>
    </xdr:to>
    <xdr:sp macro="" textlink="">
      <xdr:nvSpPr>
        <xdr:cNvPr id="74841" name="194Graph"/>
        <xdr:cNvSpPr/>
      </xdr:nvSpPr>
      <xdr:spPr>
        <a:xfrm>
          <a:off x="16676497" y="47910750"/>
          <a:ext cx="102488"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169672</xdr:colOff>
      <xdr:row>193</xdr:row>
      <xdr:rowOff>161925</xdr:rowOff>
    </xdr:from>
    <xdr:to>
      <xdr:col>30</xdr:col>
      <xdr:colOff>217805</xdr:colOff>
      <xdr:row>193</xdr:row>
      <xdr:rowOff>200025</xdr:rowOff>
    </xdr:to>
    <xdr:sp macro="" textlink="">
      <xdr:nvSpPr>
        <xdr:cNvPr id="74842" name="194Results"/>
        <xdr:cNvSpPr/>
      </xdr:nvSpPr>
      <xdr:spPr>
        <a:xfrm>
          <a:off x="16676497" y="47986950"/>
          <a:ext cx="48133"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284862</xdr:colOff>
      <xdr:row>193</xdr:row>
      <xdr:rowOff>44450</xdr:rowOff>
    </xdr:from>
    <xdr:to>
      <xdr:col>31</xdr:col>
      <xdr:colOff>361062</xdr:colOff>
      <xdr:row>193</xdr:row>
      <xdr:rowOff>215900</xdr:rowOff>
    </xdr:to>
    <xdr:sp macro="" textlink="">
      <xdr:nvSpPr>
        <xdr:cNvPr id="74843" name="194EndPoint"/>
        <xdr:cNvSpPr txBox="1"/>
      </xdr:nvSpPr>
      <xdr:spPr>
        <a:xfrm>
          <a:off x="16791687" y="478694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1/19</a:t>
          </a:r>
          <a:endParaRPr kumimoji="1" lang="ja-JP" altLang="en-US" sz="1000">
            <a:solidFill>
              <a:srgbClr val="000000"/>
            </a:solidFill>
          </a:endParaRPr>
        </a:p>
      </xdr:txBody>
    </xdr:sp>
    <xdr:clientData/>
  </xdr:twoCellAnchor>
  <xdr:twoCellAnchor>
    <xdr:from>
      <xdr:col>30</xdr:col>
      <xdr:colOff>278512</xdr:colOff>
      <xdr:row>194</xdr:row>
      <xdr:rowOff>85725</xdr:rowOff>
    </xdr:from>
    <xdr:to>
      <xdr:col>31</xdr:col>
      <xdr:colOff>54483</xdr:colOff>
      <xdr:row>194</xdr:row>
      <xdr:rowOff>161925</xdr:rowOff>
    </xdr:to>
    <xdr:sp macro="" textlink="">
      <xdr:nvSpPr>
        <xdr:cNvPr id="74844" name="195Graph"/>
        <xdr:cNvSpPr/>
      </xdr:nvSpPr>
      <xdr:spPr>
        <a:xfrm>
          <a:off x="16785337" y="48158400"/>
          <a:ext cx="156971"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169672</xdr:colOff>
      <xdr:row>194</xdr:row>
      <xdr:rowOff>161925</xdr:rowOff>
    </xdr:from>
    <xdr:to>
      <xdr:col>30</xdr:col>
      <xdr:colOff>217805</xdr:colOff>
      <xdr:row>194</xdr:row>
      <xdr:rowOff>200025</xdr:rowOff>
    </xdr:to>
    <xdr:sp macro="" textlink="">
      <xdr:nvSpPr>
        <xdr:cNvPr id="74845" name="195Results"/>
        <xdr:cNvSpPr/>
      </xdr:nvSpPr>
      <xdr:spPr>
        <a:xfrm>
          <a:off x="16676497" y="48234600"/>
          <a:ext cx="48133"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31</xdr:col>
      <xdr:colOff>67183</xdr:colOff>
      <xdr:row>194</xdr:row>
      <xdr:rowOff>44450</xdr:rowOff>
    </xdr:from>
    <xdr:to>
      <xdr:col>32</xdr:col>
      <xdr:colOff>143383</xdr:colOff>
      <xdr:row>194</xdr:row>
      <xdr:rowOff>215900</xdr:rowOff>
    </xdr:to>
    <xdr:sp macro="" textlink="">
      <xdr:nvSpPr>
        <xdr:cNvPr id="74846" name="195EndPoint"/>
        <xdr:cNvSpPr txBox="1"/>
      </xdr:nvSpPr>
      <xdr:spPr>
        <a:xfrm>
          <a:off x="16955008" y="481171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a:t>
          </a:r>
          <a:endParaRPr kumimoji="1" lang="ja-JP" altLang="en-US" sz="1000">
            <a:solidFill>
              <a:srgbClr val="000000"/>
            </a:solidFill>
          </a:endParaRPr>
        </a:p>
      </xdr:txBody>
    </xdr:sp>
    <xdr:clientData/>
  </xdr:twoCellAnchor>
  <xdr:twoCellAnchor>
    <xdr:from>
      <xdr:col>30</xdr:col>
      <xdr:colOff>278512</xdr:colOff>
      <xdr:row>195</xdr:row>
      <xdr:rowOff>85725</xdr:rowOff>
    </xdr:from>
    <xdr:to>
      <xdr:col>31</xdr:col>
      <xdr:colOff>54483</xdr:colOff>
      <xdr:row>195</xdr:row>
      <xdr:rowOff>161925</xdr:rowOff>
    </xdr:to>
    <xdr:sp macro="" textlink="">
      <xdr:nvSpPr>
        <xdr:cNvPr id="74847" name="196Graph"/>
        <xdr:cNvSpPr/>
      </xdr:nvSpPr>
      <xdr:spPr>
        <a:xfrm>
          <a:off x="16785337" y="48406050"/>
          <a:ext cx="156971"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169672</xdr:colOff>
      <xdr:row>195</xdr:row>
      <xdr:rowOff>161925</xdr:rowOff>
    </xdr:from>
    <xdr:to>
      <xdr:col>31</xdr:col>
      <xdr:colOff>54483</xdr:colOff>
      <xdr:row>195</xdr:row>
      <xdr:rowOff>200025</xdr:rowOff>
    </xdr:to>
    <xdr:sp macro="" textlink="">
      <xdr:nvSpPr>
        <xdr:cNvPr id="74848" name="196Results"/>
        <xdr:cNvSpPr/>
      </xdr:nvSpPr>
      <xdr:spPr>
        <a:xfrm>
          <a:off x="16676497" y="48482250"/>
          <a:ext cx="265811"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31</xdr:col>
      <xdr:colOff>67183</xdr:colOff>
      <xdr:row>195</xdr:row>
      <xdr:rowOff>44450</xdr:rowOff>
    </xdr:from>
    <xdr:to>
      <xdr:col>32</xdr:col>
      <xdr:colOff>143383</xdr:colOff>
      <xdr:row>195</xdr:row>
      <xdr:rowOff>215900</xdr:rowOff>
    </xdr:to>
    <xdr:sp macro="" textlink="">
      <xdr:nvSpPr>
        <xdr:cNvPr id="74849" name="196EndPoint"/>
        <xdr:cNvSpPr txBox="1"/>
      </xdr:nvSpPr>
      <xdr:spPr>
        <a:xfrm>
          <a:off x="16955008" y="4836477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1/22</a:t>
          </a:r>
          <a:endParaRPr kumimoji="1" lang="ja-JP" altLang="en-US" sz="1000">
            <a:solidFill>
              <a:srgbClr val="000000"/>
            </a:solidFill>
          </a:endParaRPr>
        </a:p>
      </xdr:txBody>
    </xdr:sp>
    <xdr:clientData/>
  </xdr:twoCellAnchor>
  <xdr:twoCellAnchor>
    <xdr:from>
      <xdr:col>31</xdr:col>
      <xdr:colOff>60833</xdr:colOff>
      <xdr:row>196</xdr:row>
      <xdr:rowOff>85725</xdr:rowOff>
    </xdr:from>
    <xdr:to>
      <xdr:col>31</xdr:col>
      <xdr:colOff>108967</xdr:colOff>
      <xdr:row>196</xdr:row>
      <xdr:rowOff>161925</xdr:rowOff>
    </xdr:to>
    <xdr:sp macro="" textlink="">
      <xdr:nvSpPr>
        <xdr:cNvPr id="74850" name="197Graph"/>
        <xdr:cNvSpPr/>
      </xdr:nvSpPr>
      <xdr:spPr>
        <a:xfrm>
          <a:off x="16948658" y="48653700"/>
          <a:ext cx="48134" cy="76200"/>
        </a:xfrm>
        <a:prstGeom prst="rect">
          <a:avLst/>
        </a:prstGeom>
        <a:pattFill prst="ltUpDiag">
          <a:fgClr>
            <a:srgbClr val="1A6666"/>
          </a:fgClr>
          <a:bgClr>
            <a:srgbClr val="99E6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169672</xdr:colOff>
      <xdr:row>196</xdr:row>
      <xdr:rowOff>161925</xdr:rowOff>
    </xdr:from>
    <xdr:to>
      <xdr:col>31</xdr:col>
      <xdr:colOff>54483</xdr:colOff>
      <xdr:row>196</xdr:row>
      <xdr:rowOff>200025</xdr:rowOff>
    </xdr:to>
    <xdr:sp macro="" textlink="">
      <xdr:nvSpPr>
        <xdr:cNvPr id="74851" name="197Results"/>
        <xdr:cNvSpPr/>
      </xdr:nvSpPr>
      <xdr:spPr>
        <a:xfrm>
          <a:off x="16676497" y="48729900"/>
          <a:ext cx="265811" cy="38100"/>
        </a:xfrm>
        <a:prstGeom prst="rect">
          <a:avLst/>
        </a:prstGeom>
        <a:solidFill>
          <a:srgbClr val="1A6666"/>
        </a:solid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31</xdr:col>
      <xdr:colOff>121538</xdr:colOff>
      <xdr:row>196</xdr:row>
      <xdr:rowOff>44450</xdr:rowOff>
    </xdr:from>
    <xdr:to>
      <xdr:col>32</xdr:col>
      <xdr:colOff>197738</xdr:colOff>
      <xdr:row>196</xdr:row>
      <xdr:rowOff>215900</xdr:rowOff>
    </xdr:to>
    <xdr:sp macro="" textlink="">
      <xdr:nvSpPr>
        <xdr:cNvPr id="74852" name="197EndPoint"/>
        <xdr:cNvSpPr txBox="1"/>
      </xdr:nvSpPr>
      <xdr:spPr>
        <a:xfrm>
          <a:off x="17009363" y="48612425"/>
          <a:ext cx="457200" cy="171450"/>
        </a:xfrm>
        <a:prstGeom prst="rect">
          <a:avLst/>
        </a:prstGeom>
        <a:solidFill>
          <a:srgbClr xmlns:mc="http://schemas.openxmlformats.org/markup-compatibility/2006" xmlns:a14="http://schemas.microsoft.com/office/drawing/2010/main" val="FFFFFF" mc:Ignorable="a14" a14:legacySpreadsheetColorIndex="9">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rIns="0" rtlCol="0" anchor="ctr"/>
        <a:lstStyle/>
        <a:p>
          <a:pPr algn="l"/>
          <a:r>
            <a:rPr kumimoji="1" lang="en-US" altLang="ja-JP" sz="1000">
              <a:solidFill>
                <a:srgbClr val="000000"/>
              </a:solidFill>
            </a:rPr>
            <a:t>1/23</a:t>
          </a:r>
          <a:endParaRPr kumimoji="1" lang="ja-JP" altLang="en-US" sz="1000">
            <a:solidFill>
              <a:srgbClr val="000000"/>
            </a:solidFill>
          </a:endParaRPr>
        </a:p>
      </xdr:txBody>
    </xdr:sp>
    <xdr:clientData/>
  </xdr:twoCellAnchor>
  <xdr:twoCellAnchor>
    <xdr:from>
      <xdr:col>21</xdr:col>
      <xdr:colOff>224028</xdr:colOff>
      <xdr:row>4</xdr:row>
      <xdr:rowOff>85725</xdr:rowOff>
    </xdr:from>
    <xdr:to>
      <xdr:col>21</xdr:col>
      <xdr:colOff>363728</xdr:colOff>
      <xdr:row>4</xdr:row>
      <xdr:rowOff>187325</xdr:rowOff>
    </xdr:to>
    <xdr:sp macro="" textlink="">
      <xdr:nvSpPr>
        <xdr:cNvPr id="74853" name="5Graph1"/>
        <xdr:cNvSpPr/>
      </xdr:nvSpPr>
      <xdr:spPr>
        <a:xfrm>
          <a:off x="13301853" y="1104900"/>
          <a:ext cx="139700" cy="101600"/>
        </a:xfrm>
        <a:prstGeom prst="triangle">
          <a:avLst/>
        </a:prstGeom>
        <a:pattFill prst="pct50">
          <a:fgClr>
            <a:srgbClr val="004000"/>
          </a:fgClr>
          <a:bgClr>
            <a:srgbClr val="80C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22</xdr:col>
      <xdr:colOff>3175</xdr:colOff>
      <xdr:row>4</xdr:row>
      <xdr:rowOff>30138</xdr:rowOff>
    </xdr:from>
    <xdr:to>
      <xdr:col>23</xdr:col>
      <xdr:colOff>137188</xdr:colOff>
      <xdr:row>4</xdr:row>
      <xdr:rowOff>196850</xdr:rowOff>
    </xdr:to>
    <xdr:sp macro="" textlink="">
      <xdr:nvSpPr>
        <xdr:cNvPr id="74854" name="5Comment1"/>
        <xdr:cNvSpPr txBox="1"/>
      </xdr:nvSpPr>
      <xdr:spPr>
        <a:xfrm>
          <a:off x="13462000" y="1049313"/>
          <a:ext cx="515013" cy="166712"/>
        </a:xfrm>
        <a:prstGeom prst="rect">
          <a:avLst/>
        </a:prstGeom>
        <a:solidFill>
          <a:schemeClr val="lt1">
            <a:alpha val="10000"/>
          </a:scheme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b">
          <a:spAutoFit/>
        </a:bodyPr>
        <a:lstStyle/>
        <a:p>
          <a:pPr algn="l"/>
          <a:r>
            <a:rPr kumimoji="1" lang="ja-JP" altLang="en-US" sz="1000" b="1" i="0" u="none">
              <a:solidFill>
                <a:srgbClr xmlns:mc="http://schemas.openxmlformats.org/markup-compatibility/2006" xmlns:a14="http://schemas.microsoft.com/office/drawing/2010/main" val="800080" mc:Ignorable="a14" a14:legacySpreadsheetColorIndex="20"/>
              </a:solidFill>
              <a:latin typeface="ＭＳ Ｐゴシック"/>
            </a:rPr>
            <a:t>設計完了</a:t>
          </a:r>
        </a:p>
      </xdr:txBody>
    </xdr:sp>
    <xdr:clientData/>
  </xdr:twoCellAnchor>
  <xdr:twoCellAnchor>
    <xdr:from>
      <xdr:col>32</xdr:col>
      <xdr:colOff>115188</xdr:colOff>
      <xdr:row>4</xdr:row>
      <xdr:rowOff>85725</xdr:rowOff>
    </xdr:from>
    <xdr:to>
      <xdr:col>32</xdr:col>
      <xdr:colOff>254888</xdr:colOff>
      <xdr:row>4</xdr:row>
      <xdr:rowOff>225425</xdr:rowOff>
    </xdr:to>
    <xdr:sp macro="" textlink="">
      <xdr:nvSpPr>
        <xdr:cNvPr id="74855" name="5Graph2"/>
        <xdr:cNvSpPr/>
      </xdr:nvSpPr>
      <xdr:spPr>
        <a:xfrm>
          <a:off x="17384013" y="1104900"/>
          <a:ext cx="139700" cy="139700"/>
        </a:xfrm>
        <a:prstGeom prst="rightArrow">
          <a:avLst>
            <a:gd name="adj1" fmla="val 50000"/>
            <a:gd name="adj2" fmla="val 30000"/>
          </a:avLst>
        </a:prstGeom>
        <a:pattFill prst="pct50">
          <a:fgClr>
            <a:srgbClr val="4C6600"/>
          </a:fgClr>
          <a:bgClr>
            <a:srgbClr val="CCE6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32</xdr:col>
      <xdr:colOff>282575</xdr:colOff>
      <xdr:row>4</xdr:row>
      <xdr:rowOff>30138</xdr:rowOff>
    </xdr:from>
    <xdr:to>
      <xdr:col>34</xdr:col>
      <xdr:colOff>35588</xdr:colOff>
      <xdr:row>4</xdr:row>
      <xdr:rowOff>196850</xdr:rowOff>
    </xdr:to>
    <xdr:sp macro="" textlink="">
      <xdr:nvSpPr>
        <xdr:cNvPr id="74856" name="5Comment2"/>
        <xdr:cNvSpPr txBox="1"/>
      </xdr:nvSpPr>
      <xdr:spPr>
        <a:xfrm>
          <a:off x="17551400" y="1049313"/>
          <a:ext cx="515013" cy="166712"/>
        </a:xfrm>
        <a:prstGeom prst="rect">
          <a:avLst/>
        </a:prstGeom>
        <a:solidFill>
          <a:schemeClr val="lt1">
            <a:alpha val="10000"/>
          </a:scheme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b">
          <a:spAutoFit/>
        </a:bodyPr>
        <a:lstStyle/>
        <a:p>
          <a:pPr algn="l"/>
          <a:r>
            <a:rPr kumimoji="1" lang="ja-JP" altLang="en-US" sz="1000" b="1" i="0" u="none">
              <a:solidFill>
                <a:srgbClr xmlns:mc="http://schemas.openxmlformats.org/markup-compatibility/2006" xmlns:a14="http://schemas.microsoft.com/office/drawing/2010/main" val="800080" mc:Ignorable="a14" a14:legacySpreadsheetColorIndex="20"/>
              </a:solidFill>
              <a:latin typeface="ＭＳ Ｐゴシック"/>
            </a:rPr>
            <a:t>実装完了</a:t>
          </a:r>
        </a:p>
      </xdr:txBody>
    </xdr:sp>
    <xdr:clientData/>
  </xdr:twoCellAnchor>
  <xdr:twoCellAnchor>
    <xdr:from>
      <xdr:col>36</xdr:col>
      <xdr:colOff>115188</xdr:colOff>
      <xdr:row>4</xdr:row>
      <xdr:rowOff>85725</xdr:rowOff>
    </xdr:from>
    <xdr:to>
      <xdr:col>36</xdr:col>
      <xdr:colOff>229488</xdr:colOff>
      <xdr:row>4</xdr:row>
      <xdr:rowOff>200025</xdr:rowOff>
    </xdr:to>
    <xdr:sp macro="" textlink="">
      <xdr:nvSpPr>
        <xdr:cNvPr id="74857" name="5Graph3"/>
        <xdr:cNvSpPr/>
      </xdr:nvSpPr>
      <xdr:spPr>
        <a:xfrm>
          <a:off x="18908013" y="1104900"/>
          <a:ext cx="114300" cy="114300"/>
        </a:xfrm>
        <a:prstGeom prst="diamond">
          <a:avLst/>
        </a:prstGeom>
        <a:pattFill prst="pct50">
          <a:fgClr>
            <a:srgbClr val="1A3380"/>
          </a:fgClr>
          <a:bgClr>
            <a:srgbClr val="99B2FF"/>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36</xdr:col>
      <xdr:colOff>282575</xdr:colOff>
      <xdr:row>4</xdr:row>
      <xdr:rowOff>30138</xdr:rowOff>
    </xdr:from>
    <xdr:to>
      <xdr:col>38</xdr:col>
      <xdr:colOff>92206</xdr:colOff>
      <xdr:row>4</xdr:row>
      <xdr:rowOff>196850</xdr:rowOff>
    </xdr:to>
    <xdr:sp macro="" textlink="">
      <xdr:nvSpPr>
        <xdr:cNvPr id="74858" name="5Comment3"/>
        <xdr:cNvSpPr txBox="1"/>
      </xdr:nvSpPr>
      <xdr:spPr>
        <a:xfrm>
          <a:off x="19075400" y="1049313"/>
          <a:ext cx="571631" cy="166712"/>
        </a:xfrm>
        <a:prstGeom prst="rect">
          <a:avLst/>
        </a:prstGeom>
        <a:solidFill>
          <a:schemeClr val="lt1">
            <a:alpha val="10000"/>
          </a:scheme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b">
          <a:spAutoFit/>
        </a:bodyPr>
        <a:lstStyle/>
        <a:p>
          <a:pPr algn="l"/>
          <a:r>
            <a:rPr kumimoji="1" lang="ja-JP" altLang="en-US" sz="1000" b="1" i="0" u="none">
              <a:solidFill>
                <a:srgbClr xmlns:mc="http://schemas.openxmlformats.org/markup-compatibility/2006" xmlns:a14="http://schemas.microsoft.com/office/drawing/2010/main" val="800080" mc:Ignorable="a14" a14:legacySpreadsheetColorIndex="20"/>
              </a:solidFill>
              <a:latin typeface="ＭＳ Ｐゴシック"/>
            </a:rPr>
            <a:t>テスト完了</a:t>
          </a:r>
        </a:p>
      </xdr:txBody>
    </xdr:sp>
    <xdr:clientData/>
  </xdr:twoCellAnchor>
  <xdr:twoCellAnchor>
    <xdr:from>
      <xdr:col>31</xdr:col>
      <xdr:colOff>214122</xdr:colOff>
      <xdr:row>4</xdr:row>
      <xdr:rowOff>0</xdr:rowOff>
    </xdr:from>
    <xdr:to>
      <xdr:col>31</xdr:col>
      <xdr:colOff>214123</xdr:colOff>
      <xdr:row>196</xdr:row>
      <xdr:rowOff>184151</xdr:rowOff>
    </xdr:to>
    <xdr:sp macro="" textlink="">
      <xdr:nvSpPr>
        <xdr:cNvPr id="74859" name="InazmaLine"/>
        <xdr:cNvSpPr/>
      </xdr:nvSpPr>
      <xdr:spPr>
        <a:xfrm>
          <a:off x="17101947" y="1019175"/>
          <a:ext cx="1" cy="47732951"/>
        </a:xfrm>
        <a:custGeom>
          <a:avLst/>
          <a:gdLst/>
          <a:ahLst/>
          <a:cxnLst/>
          <a:rect l="0" t="0" r="0" b="0"/>
          <a:pathLst>
            <a:path w="1" h="47732951">
              <a:moveTo>
                <a:pt x="0" y="0"/>
              </a:moveTo>
              <a:lnTo>
                <a:pt x="0" y="311150"/>
              </a:lnTo>
              <a:lnTo>
                <a:pt x="0" y="431800"/>
              </a:lnTo>
              <a:lnTo>
                <a:pt x="0" y="558800"/>
              </a:lnTo>
              <a:lnTo>
                <a:pt x="0" y="679450"/>
              </a:lnTo>
              <a:lnTo>
                <a:pt x="0" y="806450"/>
              </a:lnTo>
              <a:lnTo>
                <a:pt x="0" y="927100"/>
              </a:lnTo>
              <a:lnTo>
                <a:pt x="0" y="1054100"/>
              </a:lnTo>
              <a:lnTo>
                <a:pt x="0" y="1174750"/>
              </a:lnTo>
              <a:lnTo>
                <a:pt x="0" y="1301750"/>
              </a:lnTo>
              <a:lnTo>
                <a:pt x="0" y="1422400"/>
              </a:lnTo>
              <a:lnTo>
                <a:pt x="0" y="1549400"/>
              </a:lnTo>
              <a:lnTo>
                <a:pt x="0" y="1670050"/>
              </a:lnTo>
              <a:lnTo>
                <a:pt x="0" y="1797050"/>
              </a:lnTo>
              <a:lnTo>
                <a:pt x="0" y="1917700"/>
              </a:lnTo>
              <a:lnTo>
                <a:pt x="0" y="2044700"/>
              </a:lnTo>
              <a:lnTo>
                <a:pt x="0" y="2165350"/>
              </a:lnTo>
              <a:lnTo>
                <a:pt x="0" y="2292350"/>
              </a:lnTo>
              <a:lnTo>
                <a:pt x="0" y="2413000"/>
              </a:lnTo>
              <a:lnTo>
                <a:pt x="0" y="2540000"/>
              </a:lnTo>
              <a:lnTo>
                <a:pt x="0" y="2660650"/>
              </a:lnTo>
              <a:lnTo>
                <a:pt x="0" y="2787650"/>
              </a:lnTo>
              <a:lnTo>
                <a:pt x="0" y="2908300"/>
              </a:lnTo>
              <a:lnTo>
                <a:pt x="0" y="3035300"/>
              </a:lnTo>
              <a:lnTo>
                <a:pt x="0" y="3155950"/>
              </a:lnTo>
              <a:lnTo>
                <a:pt x="0" y="3282950"/>
              </a:lnTo>
              <a:lnTo>
                <a:pt x="0" y="3403600"/>
              </a:lnTo>
              <a:lnTo>
                <a:pt x="0" y="3530600"/>
              </a:lnTo>
              <a:lnTo>
                <a:pt x="0" y="3651250"/>
              </a:lnTo>
              <a:lnTo>
                <a:pt x="0" y="3778250"/>
              </a:lnTo>
              <a:lnTo>
                <a:pt x="0" y="3898900"/>
              </a:lnTo>
              <a:lnTo>
                <a:pt x="0" y="4025900"/>
              </a:lnTo>
              <a:lnTo>
                <a:pt x="0" y="4146550"/>
              </a:lnTo>
              <a:lnTo>
                <a:pt x="0" y="4273550"/>
              </a:lnTo>
              <a:lnTo>
                <a:pt x="0" y="4394200"/>
              </a:lnTo>
              <a:lnTo>
                <a:pt x="0" y="4521200"/>
              </a:lnTo>
              <a:lnTo>
                <a:pt x="0" y="4641850"/>
              </a:lnTo>
              <a:lnTo>
                <a:pt x="0" y="4768850"/>
              </a:lnTo>
              <a:lnTo>
                <a:pt x="0" y="4889500"/>
              </a:lnTo>
              <a:lnTo>
                <a:pt x="0" y="5016500"/>
              </a:lnTo>
              <a:lnTo>
                <a:pt x="0" y="5137150"/>
              </a:lnTo>
              <a:lnTo>
                <a:pt x="0" y="5264150"/>
              </a:lnTo>
              <a:lnTo>
                <a:pt x="0" y="5384800"/>
              </a:lnTo>
              <a:lnTo>
                <a:pt x="0" y="5511800"/>
              </a:lnTo>
              <a:lnTo>
                <a:pt x="0" y="5632450"/>
              </a:lnTo>
              <a:lnTo>
                <a:pt x="0" y="5759450"/>
              </a:lnTo>
              <a:lnTo>
                <a:pt x="0" y="5880100"/>
              </a:lnTo>
              <a:lnTo>
                <a:pt x="0" y="6007100"/>
              </a:lnTo>
              <a:lnTo>
                <a:pt x="0" y="6127750"/>
              </a:lnTo>
              <a:lnTo>
                <a:pt x="0" y="6254750"/>
              </a:lnTo>
              <a:lnTo>
                <a:pt x="0" y="6375400"/>
              </a:lnTo>
              <a:lnTo>
                <a:pt x="0" y="6502400"/>
              </a:lnTo>
              <a:lnTo>
                <a:pt x="0" y="6623050"/>
              </a:lnTo>
              <a:lnTo>
                <a:pt x="0" y="6750050"/>
              </a:lnTo>
              <a:lnTo>
                <a:pt x="0" y="6870700"/>
              </a:lnTo>
              <a:lnTo>
                <a:pt x="0" y="6997700"/>
              </a:lnTo>
              <a:lnTo>
                <a:pt x="0" y="7118350"/>
              </a:lnTo>
              <a:lnTo>
                <a:pt x="0" y="7245350"/>
              </a:lnTo>
              <a:lnTo>
                <a:pt x="0" y="7366000"/>
              </a:lnTo>
              <a:lnTo>
                <a:pt x="0" y="7493000"/>
              </a:lnTo>
              <a:lnTo>
                <a:pt x="0" y="7613650"/>
              </a:lnTo>
              <a:lnTo>
                <a:pt x="0" y="7740650"/>
              </a:lnTo>
              <a:lnTo>
                <a:pt x="0" y="7861300"/>
              </a:lnTo>
              <a:lnTo>
                <a:pt x="0" y="7988300"/>
              </a:lnTo>
              <a:lnTo>
                <a:pt x="0" y="8108950"/>
              </a:lnTo>
              <a:lnTo>
                <a:pt x="0" y="8235950"/>
              </a:lnTo>
              <a:lnTo>
                <a:pt x="0" y="8356600"/>
              </a:lnTo>
              <a:lnTo>
                <a:pt x="0" y="8483600"/>
              </a:lnTo>
              <a:lnTo>
                <a:pt x="0" y="8604250"/>
              </a:lnTo>
              <a:lnTo>
                <a:pt x="0" y="8731250"/>
              </a:lnTo>
              <a:lnTo>
                <a:pt x="0" y="8851900"/>
              </a:lnTo>
              <a:lnTo>
                <a:pt x="0" y="8978900"/>
              </a:lnTo>
              <a:lnTo>
                <a:pt x="0" y="9099550"/>
              </a:lnTo>
              <a:lnTo>
                <a:pt x="0" y="9226550"/>
              </a:lnTo>
              <a:lnTo>
                <a:pt x="0" y="9347200"/>
              </a:lnTo>
              <a:lnTo>
                <a:pt x="0" y="9474200"/>
              </a:lnTo>
              <a:lnTo>
                <a:pt x="0" y="9594850"/>
              </a:lnTo>
              <a:lnTo>
                <a:pt x="0" y="9721850"/>
              </a:lnTo>
              <a:lnTo>
                <a:pt x="0" y="9842500"/>
              </a:lnTo>
              <a:lnTo>
                <a:pt x="0" y="9969500"/>
              </a:lnTo>
              <a:lnTo>
                <a:pt x="0" y="10090150"/>
              </a:lnTo>
              <a:lnTo>
                <a:pt x="0" y="10217150"/>
              </a:lnTo>
              <a:lnTo>
                <a:pt x="0" y="10337800"/>
              </a:lnTo>
              <a:lnTo>
                <a:pt x="0" y="10464800"/>
              </a:lnTo>
              <a:lnTo>
                <a:pt x="0" y="10585450"/>
              </a:lnTo>
              <a:lnTo>
                <a:pt x="0" y="10712450"/>
              </a:lnTo>
              <a:lnTo>
                <a:pt x="0" y="10833100"/>
              </a:lnTo>
              <a:lnTo>
                <a:pt x="0" y="10960100"/>
              </a:lnTo>
              <a:lnTo>
                <a:pt x="0" y="11080750"/>
              </a:lnTo>
              <a:lnTo>
                <a:pt x="0" y="11207750"/>
              </a:lnTo>
              <a:lnTo>
                <a:pt x="0" y="11328400"/>
              </a:lnTo>
              <a:lnTo>
                <a:pt x="0" y="11455400"/>
              </a:lnTo>
              <a:lnTo>
                <a:pt x="0" y="11576050"/>
              </a:lnTo>
              <a:lnTo>
                <a:pt x="0" y="11703050"/>
              </a:lnTo>
              <a:lnTo>
                <a:pt x="0" y="11823700"/>
              </a:lnTo>
              <a:lnTo>
                <a:pt x="0" y="11950700"/>
              </a:lnTo>
              <a:lnTo>
                <a:pt x="0" y="12071350"/>
              </a:lnTo>
              <a:lnTo>
                <a:pt x="0" y="12198350"/>
              </a:lnTo>
              <a:lnTo>
                <a:pt x="0" y="12319000"/>
              </a:lnTo>
              <a:lnTo>
                <a:pt x="0" y="12446000"/>
              </a:lnTo>
              <a:lnTo>
                <a:pt x="0" y="12566650"/>
              </a:lnTo>
              <a:lnTo>
                <a:pt x="0" y="12693650"/>
              </a:lnTo>
              <a:lnTo>
                <a:pt x="0" y="12814300"/>
              </a:lnTo>
              <a:lnTo>
                <a:pt x="0" y="12941300"/>
              </a:lnTo>
              <a:lnTo>
                <a:pt x="0" y="13061950"/>
              </a:lnTo>
              <a:lnTo>
                <a:pt x="0" y="13188950"/>
              </a:lnTo>
              <a:lnTo>
                <a:pt x="0" y="13309600"/>
              </a:lnTo>
              <a:lnTo>
                <a:pt x="0" y="13436600"/>
              </a:lnTo>
              <a:lnTo>
                <a:pt x="0" y="13557250"/>
              </a:lnTo>
              <a:lnTo>
                <a:pt x="0" y="13684250"/>
              </a:lnTo>
              <a:lnTo>
                <a:pt x="0" y="13804900"/>
              </a:lnTo>
              <a:lnTo>
                <a:pt x="0" y="13931900"/>
              </a:lnTo>
              <a:lnTo>
                <a:pt x="0" y="14052550"/>
              </a:lnTo>
              <a:lnTo>
                <a:pt x="0" y="14179550"/>
              </a:lnTo>
              <a:lnTo>
                <a:pt x="0" y="14300200"/>
              </a:lnTo>
              <a:lnTo>
                <a:pt x="0" y="14427200"/>
              </a:lnTo>
              <a:lnTo>
                <a:pt x="0" y="14547850"/>
              </a:lnTo>
              <a:lnTo>
                <a:pt x="0" y="14674850"/>
              </a:lnTo>
              <a:lnTo>
                <a:pt x="0" y="14795500"/>
              </a:lnTo>
              <a:lnTo>
                <a:pt x="0" y="14922500"/>
              </a:lnTo>
              <a:lnTo>
                <a:pt x="0" y="15043150"/>
              </a:lnTo>
              <a:lnTo>
                <a:pt x="0" y="15170150"/>
              </a:lnTo>
              <a:lnTo>
                <a:pt x="0" y="15290800"/>
              </a:lnTo>
              <a:lnTo>
                <a:pt x="0" y="15417800"/>
              </a:lnTo>
              <a:lnTo>
                <a:pt x="0" y="15538450"/>
              </a:lnTo>
              <a:lnTo>
                <a:pt x="0" y="15665450"/>
              </a:lnTo>
              <a:lnTo>
                <a:pt x="0" y="15786100"/>
              </a:lnTo>
              <a:lnTo>
                <a:pt x="0" y="15913100"/>
              </a:lnTo>
              <a:lnTo>
                <a:pt x="0" y="16033750"/>
              </a:lnTo>
              <a:lnTo>
                <a:pt x="0" y="16160750"/>
              </a:lnTo>
              <a:lnTo>
                <a:pt x="0" y="16281400"/>
              </a:lnTo>
              <a:lnTo>
                <a:pt x="0" y="16408400"/>
              </a:lnTo>
              <a:lnTo>
                <a:pt x="0" y="16529050"/>
              </a:lnTo>
              <a:lnTo>
                <a:pt x="0" y="16656050"/>
              </a:lnTo>
              <a:lnTo>
                <a:pt x="0" y="16776700"/>
              </a:lnTo>
              <a:lnTo>
                <a:pt x="0" y="16903700"/>
              </a:lnTo>
              <a:lnTo>
                <a:pt x="0" y="17024350"/>
              </a:lnTo>
              <a:lnTo>
                <a:pt x="0" y="17151350"/>
              </a:lnTo>
              <a:lnTo>
                <a:pt x="0" y="17272000"/>
              </a:lnTo>
              <a:lnTo>
                <a:pt x="0" y="17399000"/>
              </a:lnTo>
              <a:lnTo>
                <a:pt x="0" y="17519650"/>
              </a:lnTo>
              <a:lnTo>
                <a:pt x="0" y="17646650"/>
              </a:lnTo>
              <a:lnTo>
                <a:pt x="0" y="17767300"/>
              </a:lnTo>
              <a:lnTo>
                <a:pt x="0" y="17894300"/>
              </a:lnTo>
              <a:lnTo>
                <a:pt x="0" y="18014950"/>
              </a:lnTo>
              <a:lnTo>
                <a:pt x="0" y="18141950"/>
              </a:lnTo>
              <a:lnTo>
                <a:pt x="0" y="18262600"/>
              </a:lnTo>
              <a:lnTo>
                <a:pt x="0" y="18389600"/>
              </a:lnTo>
              <a:lnTo>
                <a:pt x="0" y="18510250"/>
              </a:lnTo>
              <a:lnTo>
                <a:pt x="0" y="18637250"/>
              </a:lnTo>
              <a:lnTo>
                <a:pt x="0" y="18757900"/>
              </a:lnTo>
              <a:lnTo>
                <a:pt x="0" y="18884900"/>
              </a:lnTo>
              <a:lnTo>
                <a:pt x="0" y="19005550"/>
              </a:lnTo>
              <a:lnTo>
                <a:pt x="0" y="19132550"/>
              </a:lnTo>
              <a:lnTo>
                <a:pt x="0" y="19253200"/>
              </a:lnTo>
              <a:lnTo>
                <a:pt x="0" y="19380200"/>
              </a:lnTo>
              <a:lnTo>
                <a:pt x="0" y="19500850"/>
              </a:lnTo>
              <a:lnTo>
                <a:pt x="0" y="19627850"/>
              </a:lnTo>
              <a:lnTo>
                <a:pt x="0" y="19748500"/>
              </a:lnTo>
              <a:lnTo>
                <a:pt x="0" y="19875500"/>
              </a:lnTo>
              <a:lnTo>
                <a:pt x="0" y="19996150"/>
              </a:lnTo>
              <a:lnTo>
                <a:pt x="0" y="20123150"/>
              </a:lnTo>
              <a:lnTo>
                <a:pt x="0" y="20243800"/>
              </a:lnTo>
              <a:lnTo>
                <a:pt x="0" y="20370800"/>
              </a:lnTo>
              <a:lnTo>
                <a:pt x="0" y="20491450"/>
              </a:lnTo>
              <a:lnTo>
                <a:pt x="0" y="20618450"/>
              </a:lnTo>
              <a:lnTo>
                <a:pt x="0" y="20739100"/>
              </a:lnTo>
              <a:lnTo>
                <a:pt x="0" y="20866100"/>
              </a:lnTo>
              <a:lnTo>
                <a:pt x="0" y="20986750"/>
              </a:lnTo>
              <a:lnTo>
                <a:pt x="0" y="21113750"/>
              </a:lnTo>
              <a:lnTo>
                <a:pt x="0" y="21234400"/>
              </a:lnTo>
              <a:lnTo>
                <a:pt x="0" y="21361400"/>
              </a:lnTo>
              <a:lnTo>
                <a:pt x="0" y="21482050"/>
              </a:lnTo>
              <a:lnTo>
                <a:pt x="0" y="21609050"/>
              </a:lnTo>
              <a:lnTo>
                <a:pt x="0" y="21729700"/>
              </a:lnTo>
              <a:lnTo>
                <a:pt x="0" y="21856700"/>
              </a:lnTo>
              <a:lnTo>
                <a:pt x="0" y="21977350"/>
              </a:lnTo>
              <a:lnTo>
                <a:pt x="0" y="22104350"/>
              </a:lnTo>
              <a:lnTo>
                <a:pt x="0" y="22225000"/>
              </a:lnTo>
              <a:lnTo>
                <a:pt x="0" y="22352000"/>
              </a:lnTo>
              <a:lnTo>
                <a:pt x="0" y="22472650"/>
              </a:lnTo>
              <a:lnTo>
                <a:pt x="0" y="22599650"/>
              </a:lnTo>
              <a:lnTo>
                <a:pt x="0" y="22720300"/>
              </a:lnTo>
              <a:lnTo>
                <a:pt x="0" y="22847300"/>
              </a:lnTo>
              <a:lnTo>
                <a:pt x="0" y="22967950"/>
              </a:lnTo>
              <a:lnTo>
                <a:pt x="0" y="23094950"/>
              </a:lnTo>
              <a:lnTo>
                <a:pt x="0" y="23215600"/>
              </a:lnTo>
              <a:lnTo>
                <a:pt x="0" y="23342600"/>
              </a:lnTo>
              <a:lnTo>
                <a:pt x="0" y="23463250"/>
              </a:lnTo>
              <a:lnTo>
                <a:pt x="0" y="23590250"/>
              </a:lnTo>
              <a:lnTo>
                <a:pt x="0" y="23710900"/>
              </a:lnTo>
              <a:lnTo>
                <a:pt x="0" y="23837900"/>
              </a:lnTo>
              <a:lnTo>
                <a:pt x="0" y="23958550"/>
              </a:lnTo>
              <a:lnTo>
                <a:pt x="0" y="24085550"/>
              </a:lnTo>
              <a:lnTo>
                <a:pt x="0" y="24206200"/>
              </a:lnTo>
              <a:lnTo>
                <a:pt x="0" y="24333200"/>
              </a:lnTo>
              <a:lnTo>
                <a:pt x="0" y="24453850"/>
              </a:lnTo>
              <a:lnTo>
                <a:pt x="0" y="24580850"/>
              </a:lnTo>
              <a:lnTo>
                <a:pt x="0" y="24701500"/>
              </a:lnTo>
              <a:lnTo>
                <a:pt x="0" y="24828500"/>
              </a:lnTo>
              <a:lnTo>
                <a:pt x="0" y="24949150"/>
              </a:lnTo>
              <a:lnTo>
                <a:pt x="0" y="25076150"/>
              </a:lnTo>
              <a:lnTo>
                <a:pt x="0" y="25196800"/>
              </a:lnTo>
              <a:lnTo>
                <a:pt x="0" y="25323800"/>
              </a:lnTo>
              <a:lnTo>
                <a:pt x="0" y="25444450"/>
              </a:lnTo>
              <a:lnTo>
                <a:pt x="0" y="25571450"/>
              </a:lnTo>
              <a:lnTo>
                <a:pt x="0" y="25692100"/>
              </a:lnTo>
              <a:lnTo>
                <a:pt x="0" y="25819100"/>
              </a:lnTo>
              <a:lnTo>
                <a:pt x="0" y="25939750"/>
              </a:lnTo>
              <a:lnTo>
                <a:pt x="0" y="26066750"/>
              </a:lnTo>
              <a:lnTo>
                <a:pt x="0" y="26187400"/>
              </a:lnTo>
              <a:lnTo>
                <a:pt x="0" y="26314400"/>
              </a:lnTo>
              <a:lnTo>
                <a:pt x="0" y="26435050"/>
              </a:lnTo>
              <a:lnTo>
                <a:pt x="0" y="26562050"/>
              </a:lnTo>
              <a:lnTo>
                <a:pt x="0" y="26682700"/>
              </a:lnTo>
              <a:lnTo>
                <a:pt x="0" y="26809700"/>
              </a:lnTo>
              <a:lnTo>
                <a:pt x="0" y="26930350"/>
              </a:lnTo>
              <a:lnTo>
                <a:pt x="0" y="27057350"/>
              </a:lnTo>
              <a:lnTo>
                <a:pt x="0" y="27178000"/>
              </a:lnTo>
              <a:lnTo>
                <a:pt x="0" y="27305000"/>
              </a:lnTo>
              <a:lnTo>
                <a:pt x="0" y="27425650"/>
              </a:lnTo>
              <a:lnTo>
                <a:pt x="0" y="27552650"/>
              </a:lnTo>
              <a:lnTo>
                <a:pt x="0" y="27673300"/>
              </a:lnTo>
              <a:lnTo>
                <a:pt x="0" y="27800300"/>
              </a:lnTo>
              <a:lnTo>
                <a:pt x="0" y="27920950"/>
              </a:lnTo>
              <a:lnTo>
                <a:pt x="0" y="28047950"/>
              </a:lnTo>
              <a:lnTo>
                <a:pt x="0" y="28168600"/>
              </a:lnTo>
              <a:lnTo>
                <a:pt x="0" y="28295600"/>
              </a:lnTo>
              <a:lnTo>
                <a:pt x="0" y="28416250"/>
              </a:lnTo>
              <a:lnTo>
                <a:pt x="0" y="28543250"/>
              </a:lnTo>
              <a:lnTo>
                <a:pt x="0" y="28663900"/>
              </a:lnTo>
              <a:lnTo>
                <a:pt x="0" y="28790900"/>
              </a:lnTo>
              <a:lnTo>
                <a:pt x="0" y="28911550"/>
              </a:lnTo>
              <a:lnTo>
                <a:pt x="0" y="29038550"/>
              </a:lnTo>
              <a:lnTo>
                <a:pt x="0" y="29159200"/>
              </a:lnTo>
              <a:lnTo>
                <a:pt x="0" y="29286200"/>
              </a:lnTo>
              <a:lnTo>
                <a:pt x="0" y="29406850"/>
              </a:lnTo>
              <a:lnTo>
                <a:pt x="0" y="29533850"/>
              </a:lnTo>
              <a:lnTo>
                <a:pt x="0" y="29654500"/>
              </a:lnTo>
              <a:lnTo>
                <a:pt x="0" y="29781500"/>
              </a:lnTo>
              <a:lnTo>
                <a:pt x="0" y="29902150"/>
              </a:lnTo>
              <a:lnTo>
                <a:pt x="0" y="30029150"/>
              </a:lnTo>
              <a:lnTo>
                <a:pt x="0" y="30149800"/>
              </a:lnTo>
              <a:lnTo>
                <a:pt x="0" y="30276800"/>
              </a:lnTo>
              <a:lnTo>
                <a:pt x="0" y="30397450"/>
              </a:lnTo>
              <a:lnTo>
                <a:pt x="0" y="30524450"/>
              </a:lnTo>
              <a:lnTo>
                <a:pt x="0" y="30645100"/>
              </a:lnTo>
              <a:lnTo>
                <a:pt x="0" y="30772100"/>
              </a:lnTo>
              <a:lnTo>
                <a:pt x="0" y="30892750"/>
              </a:lnTo>
              <a:lnTo>
                <a:pt x="0" y="31019750"/>
              </a:lnTo>
              <a:lnTo>
                <a:pt x="0" y="31140400"/>
              </a:lnTo>
              <a:lnTo>
                <a:pt x="0" y="31267400"/>
              </a:lnTo>
              <a:lnTo>
                <a:pt x="0" y="31388050"/>
              </a:lnTo>
              <a:lnTo>
                <a:pt x="0" y="31515050"/>
              </a:lnTo>
              <a:lnTo>
                <a:pt x="0" y="31635700"/>
              </a:lnTo>
              <a:lnTo>
                <a:pt x="0" y="31762700"/>
              </a:lnTo>
              <a:lnTo>
                <a:pt x="0" y="31883350"/>
              </a:lnTo>
              <a:lnTo>
                <a:pt x="0" y="32010350"/>
              </a:lnTo>
              <a:lnTo>
                <a:pt x="0" y="32131000"/>
              </a:lnTo>
              <a:lnTo>
                <a:pt x="0" y="32258000"/>
              </a:lnTo>
              <a:lnTo>
                <a:pt x="0" y="32378650"/>
              </a:lnTo>
              <a:lnTo>
                <a:pt x="0" y="32505650"/>
              </a:lnTo>
              <a:lnTo>
                <a:pt x="0" y="32626300"/>
              </a:lnTo>
              <a:lnTo>
                <a:pt x="0" y="32753300"/>
              </a:lnTo>
              <a:lnTo>
                <a:pt x="0" y="32873950"/>
              </a:lnTo>
              <a:lnTo>
                <a:pt x="0" y="33000950"/>
              </a:lnTo>
              <a:lnTo>
                <a:pt x="0" y="33121600"/>
              </a:lnTo>
              <a:lnTo>
                <a:pt x="0" y="33248600"/>
              </a:lnTo>
              <a:lnTo>
                <a:pt x="0" y="33369250"/>
              </a:lnTo>
              <a:lnTo>
                <a:pt x="0" y="33496250"/>
              </a:lnTo>
              <a:lnTo>
                <a:pt x="0" y="33616900"/>
              </a:lnTo>
              <a:lnTo>
                <a:pt x="0" y="33743900"/>
              </a:lnTo>
              <a:lnTo>
                <a:pt x="0" y="33864550"/>
              </a:lnTo>
              <a:lnTo>
                <a:pt x="0" y="33991550"/>
              </a:lnTo>
              <a:lnTo>
                <a:pt x="0" y="34112200"/>
              </a:lnTo>
              <a:lnTo>
                <a:pt x="0" y="34239200"/>
              </a:lnTo>
              <a:lnTo>
                <a:pt x="0" y="34359850"/>
              </a:lnTo>
              <a:lnTo>
                <a:pt x="0" y="34486850"/>
              </a:lnTo>
              <a:lnTo>
                <a:pt x="0" y="34607500"/>
              </a:lnTo>
              <a:lnTo>
                <a:pt x="0" y="34734500"/>
              </a:lnTo>
              <a:lnTo>
                <a:pt x="0" y="34855150"/>
              </a:lnTo>
              <a:lnTo>
                <a:pt x="0" y="34982150"/>
              </a:lnTo>
              <a:lnTo>
                <a:pt x="0" y="35102800"/>
              </a:lnTo>
              <a:lnTo>
                <a:pt x="0" y="35229800"/>
              </a:lnTo>
              <a:lnTo>
                <a:pt x="0" y="35350450"/>
              </a:lnTo>
              <a:lnTo>
                <a:pt x="0" y="35477450"/>
              </a:lnTo>
              <a:lnTo>
                <a:pt x="0" y="35598100"/>
              </a:lnTo>
              <a:lnTo>
                <a:pt x="0" y="35725100"/>
              </a:lnTo>
              <a:lnTo>
                <a:pt x="0" y="35845750"/>
              </a:lnTo>
              <a:lnTo>
                <a:pt x="0" y="35972750"/>
              </a:lnTo>
              <a:lnTo>
                <a:pt x="0" y="36093400"/>
              </a:lnTo>
              <a:lnTo>
                <a:pt x="0" y="36220400"/>
              </a:lnTo>
              <a:lnTo>
                <a:pt x="0" y="36341050"/>
              </a:lnTo>
              <a:lnTo>
                <a:pt x="0" y="36468050"/>
              </a:lnTo>
              <a:lnTo>
                <a:pt x="0" y="36588700"/>
              </a:lnTo>
              <a:lnTo>
                <a:pt x="0" y="36715700"/>
              </a:lnTo>
              <a:lnTo>
                <a:pt x="0" y="36836350"/>
              </a:lnTo>
              <a:lnTo>
                <a:pt x="0" y="36963350"/>
              </a:lnTo>
              <a:lnTo>
                <a:pt x="0" y="37084000"/>
              </a:lnTo>
              <a:lnTo>
                <a:pt x="0" y="37211000"/>
              </a:lnTo>
              <a:lnTo>
                <a:pt x="0" y="37331650"/>
              </a:lnTo>
              <a:lnTo>
                <a:pt x="0" y="37458650"/>
              </a:lnTo>
              <a:lnTo>
                <a:pt x="0" y="37579300"/>
              </a:lnTo>
              <a:lnTo>
                <a:pt x="0" y="37706300"/>
              </a:lnTo>
              <a:lnTo>
                <a:pt x="0" y="37826950"/>
              </a:lnTo>
              <a:lnTo>
                <a:pt x="0" y="37953950"/>
              </a:lnTo>
              <a:lnTo>
                <a:pt x="0" y="38074600"/>
              </a:lnTo>
              <a:lnTo>
                <a:pt x="0" y="38201600"/>
              </a:lnTo>
              <a:lnTo>
                <a:pt x="0" y="38322250"/>
              </a:lnTo>
              <a:lnTo>
                <a:pt x="0" y="38449250"/>
              </a:lnTo>
              <a:lnTo>
                <a:pt x="0" y="38569900"/>
              </a:lnTo>
              <a:lnTo>
                <a:pt x="0" y="38696900"/>
              </a:lnTo>
              <a:lnTo>
                <a:pt x="0" y="38817550"/>
              </a:lnTo>
              <a:lnTo>
                <a:pt x="0" y="38944550"/>
              </a:lnTo>
              <a:lnTo>
                <a:pt x="0" y="39065200"/>
              </a:lnTo>
              <a:lnTo>
                <a:pt x="0" y="39192200"/>
              </a:lnTo>
              <a:lnTo>
                <a:pt x="0" y="39312850"/>
              </a:lnTo>
              <a:lnTo>
                <a:pt x="0" y="39439850"/>
              </a:lnTo>
              <a:lnTo>
                <a:pt x="0" y="39560500"/>
              </a:lnTo>
              <a:lnTo>
                <a:pt x="0" y="39687500"/>
              </a:lnTo>
              <a:lnTo>
                <a:pt x="0" y="39808150"/>
              </a:lnTo>
              <a:lnTo>
                <a:pt x="0" y="39935150"/>
              </a:lnTo>
              <a:lnTo>
                <a:pt x="0" y="40055800"/>
              </a:lnTo>
              <a:lnTo>
                <a:pt x="0" y="40182800"/>
              </a:lnTo>
              <a:lnTo>
                <a:pt x="0" y="40303450"/>
              </a:lnTo>
              <a:lnTo>
                <a:pt x="0" y="40430450"/>
              </a:lnTo>
              <a:lnTo>
                <a:pt x="0" y="40551100"/>
              </a:lnTo>
              <a:lnTo>
                <a:pt x="0" y="40678100"/>
              </a:lnTo>
              <a:lnTo>
                <a:pt x="0" y="40798750"/>
              </a:lnTo>
              <a:lnTo>
                <a:pt x="0" y="40925750"/>
              </a:lnTo>
              <a:lnTo>
                <a:pt x="0" y="41046400"/>
              </a:lnTo>
              <a:lnTo>
                <a:pt x="0" y="41173400"/>
              </a:lnTo>
              <a:lnTo>
                <a:pt x="0" y="41294050"/>
              </a:lnTo>
              <a:lnTo>
                <a:pt x="0" y="41421050"/>
              </a:lnTo>
              <a:lnTo>
                <a:pt x="0" y="41541700"/>
              </a:lnTo>
              <a:lnTo>
                <a:pt x="0" y="41668700"/>
              </a:lnTo>
              <a:lnTo>
                <a:pt x="0" y="41789350"/>
              </a:lnTo>
              <a:lnTo>
                <a:pt x="0" y="41916350"/>
              </a:lnTo>
              <a:lnTo>
                <a:pt x="0" y="42037000"/>
              </a:lnTo>
              <a:lnTo>
                <a:pt x="0" y="42164000"/>
              </a:lnTo>
              <a:lnTo>
                <a:pt x="0" y="42284650"/>
              </a:lnTo>
              <a:lnTo>
                <a:pt x="0" y="42411650"/>
              </a:lnTo>
              <a:lnTo>
                <a:pt x="0" y="42532300"/>
              </a:lnTo>
              <a:lnTo>
                <a:pt x="0" y="42659300"/>
              </a:lnTo>
              <a:lnTo>
                <a:pt x="0" y="42779950"/>
              </a:lnTo>
              <a:lnTo>
                <a:pt x="0" y="42906950"/>
              </a:lnTo>
              <a:lnTo>
                <a:pt x="0" y="43027600"/>
              </a:lnTo>
              <a:lnTo>
                <a:pt x="0" y="43154600"/>
              </a:lnTo>
              <a:lnTo>
                <a:pt x="0" y="43275250"/>
              </a:lnTo>
              <a:lnTo>
                <a:pt x="0" y="43402250"/>
              </a:lnTo>
              <a:lnTo>
                <a:pt x="0" y="43522900"/>
              </a:lnTo>
              <a:lnTo>
                <a:pt x="0" y="43649900"/>
              </a:lnTo>
              <a:lnTo>
                <a:pt x="0" y="43770550"/>
              </a:lnTo>
              <a:lnTo>
                <a:pt x="0" y="43897550"/>
              </a:lnTo>
              <a:lnTo>
                <a:pt x="0" y="44018200"/>
              </a:lnTo>
              <a:lnTo>
                <a:pt x="0" y="44145200"/>
              </a:lnTo>
              <a:lnTo>
                <a:pt x="0" y="44265850"/>
              </a:lnTo>
              <a:lnTo>
                <a:pt x="0" y="44392850"/>
              </a:lnTo>
              <a:lnTo>
                <a:pt x="0" y="44513500"/>
              </a:lnTo>
              <a:lnTo>
                <a:pt x="0" y="44640500"/>
              </a:lnTo>
              <a:lnTo>
                <a:pt x="0" y="44761150"/>
              </a:lnTo>
              <a:lnTo>
                <a:pt x="0" y="44888150"/>
              </a:lnTo>
              <a:lnTo>
                <a:pt x="0" y="45008800"/>
              </a:lnTo>
              <a:lnTo>
                <a:pt x="0" y="45135800"/>
              </a:lnTo>
              <a:lnTo>
                <a:pt x="0" y="45256450"/>
              </a:lnTo>
              <a:lnTo>
                <a:pt x="0" y="45383450"/>
              </a:lnTo>
              <a:lnTo>
                <a:pt x="0" y="45504100"/>
              </a:lnTo>
              <a:lnTo>
                <a:pt x="0" y="45631100"/>
              </a:lnTo>
              <a:lnTo>
                <a:pt x="0" y="45751750"/>
              </a:lnTo>
              <a:lnTo>
                <a:pt x="0" y="45878750"/>
              </a:lnTo>
              <a:lnTo>
                <a:pt x="0" y="45999400"/>
              </a:lnTo>
              <a:lnTo>
                <a:pt x="0" y="46126400"/>
              </a:lnTo>
              <a:lnTo>
                <a:pt x="0" y="46247050"/>
              </a:lnTo>
              <a:lnTo>
                <a:pt x="0" y="46374050"/>
              </a:lnTo>
              <a:lnTo>
                <a:pt x="0" y="46494700"/>
              </a:lnTo>
              <a:lnTo>
                <a:pt x="0" y="46621700"/>
              </a:lnTo>
              <a:lnTo>
                <a:pt x="0" y="46742350"/>
              </a:lnTo>
              <a:lnTo>
                <a:pt x="0" y="46869350"/>
              </a:lnTo>
              <a:lnTo>
                <a:pt x="0" y="46990000"/>
              </a:lnTo>
              <a:lnTo>
                <a:pt x="0" y="47117000"/>
              </a:lnTo>
              <a:lnTo>
                <a:pt x="0" y="47237650"/>
              </a:lnTo>
              <a:lnTo>
                <a:pt x="0" y="47364650"/>
              </a:lnTo>
              <a:lnTo>
                <a:pt x="0" y="47485300"/>
              </a:lnTo>
              <a:lnTo>
                <a:pt x="0" y="47612300"/>
              </a:lnTo>
              <a:lnTo>
                <a:pt x="0" y="47732950"/>
              </a:lnTo>
            </a:path>
          </a:pathLst>
        </a:custGeom>
        <a:ln w="12700" cap="flat" cmpd="sng" algn="ctr">
          <a:solidFill>
            <a:srgbClr val="FF0000"/>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31</xdr:col>
      <xdr:colOff>163322</xdr:colOff>
      <xdr:row>4</xdr:row>
      <xdr:rowOff>0</xdr:rowOff>
    </xdr:from>
    <xdr:to>
      <xdr:col>31</xdr:col>
      <xdr:colOff>268097</xdr:colOff>
      <xdr:row>197</xdr:row>
      <xdr:rowOff>0</xdr:rowOff>
    </xdr:to>
    <xdr:sp macro="" textlink="">
      <xdr:nvSpPr>
        <xdr:cNvPr id="74860" name="NowLine"/>
        <xdr:cNvSpPr/>
      </xdr:nvSpPr>
      <xdr:spPr>
        <a:xfrm>
          <a:off x="17051147" y="1019175"/>
          <a:ext cx="104775" cy="47796450"/>
        </a:xfrm>
        <a:prstGeom prst="rect">
          <a:avLst/>
        </a:prstGeom>
        <a:gradFill flip="none" rotWithShape="1">
          <a:gsLst>
            <a:gs pos="0">
              <a:srgbClr xmlns:mc="http://schemas.openxmlformats.org/markup-compatibility/2006" xmlns:a14="http://schemas.microsoft.com/office/drawing/2010/main" val="FF0000" mc:Ignorable="a14" a14:legacySpreadsheetColorIndex="10">
                <a:alpha val="0"/>
              </a:srgbClr>
            </a:gs>
            <a:gs pos="50000">
              <a:srgbClr xmlns:mc="http://schemas.openxmlformats.org/markup-compatibility/2006" xmlns:a14="http://schemas.microsoft.com/office/drawing/2010/main" val="FF0000" mc:Ignorable="a14" a14:legacySpreadsheetColorIndex="10"/>
            </a:gs>
            <a:gs pos="100000">
              <a:srgbClr xmlns:mc="http://schemas.openxmlformats.org/markup-compatibility/2006" xmlns:a14="http://schemas.microsoft.com/office/drawing/2010/main" val="FF0000" mc:Ignorable="a14" a14:legacySpreadsheetColorIndex="10">
                <a:alpha val="0"/>
              </a:srgbClr>
            </a:gs>
          </a:gsLst>
          <a:lin ang="0" scaled="1"/>
          <a:tileRect/>
        </a:gra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1</xdr:row>
          <xdr:rowOff>9525</xdr:rowOff>
        </xdr:from>
        <xdr:to>
          <xdr:col>4</xdr:col>
          <xdr:colOff>238125</xdr:colOff>
          <xdr:row>1</xdr:row>
          <xdr:rowOff>323850</xdr:rowOff>
        </xdr:to>
        <xdr:sp macro="" textlink="">
          <xdr:nvSpPr>
            <xdr:cNvPr id="2049" name="BTN_MemberList_Get"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304800</xdr:colOff>
          <xdr:row>1</xdr:row>
          <xdr:rowOff>9525</xdr:rowOff>
        </xdr:from>
        <xdr:to>
          <xdr:col>6</xdr:col>
          <xdr:colOff>342900</xdr:colOff>
          <xdr:row>1</xdr:row>
          <xdr:rowOff>323850</xdr:rowOff>
        </xdr:to>
        <xdr:sp macro="" textlink="">
          <xdr:nvSpPr>
            <xdr:cNvPr id="2097" name="BTN_MemberList_FilePut" hidden="1">
              <a:extLst>
                <a:ext uri="{63B3BB69-23CF-44E3-9099-C40C66FF867C}">
                  <a14:compatExt spid="_x0000_s2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352425</xdr:colOff>
          <xdr:row>1</xdr:row>
          <xdr:rowOff>9525</xdr:rowOff>
        </xdr:from>
        <xdr:to>
          <xdr:col>8</xdr:col>
          <xdr:colOff>142875</xdr:colOff>
          <xdr:row>1</xdr:row>
          <xdr:rowOff>323850</xdr:rowOff>
        </xdr:to>
        <xdr:sp macro="" textlink="">
          <xdr:nvSpPr>
            <xdr:cNvPr id="2098" name="BTN_MemberList_FileGet" hidden="1">
              <a:extLst>
                <a:ext uri="{63B3BB69-23CF-44E3-9099-C40C66FF867C}">
                  <a14:compatExt spid="_x0000_s2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257175</xdr:colOff>
          <xdr:row>1</xdr:row>
          <xdr:rowOff>9525</xdr:rowOff>
        </xdr:from>
        <xdr:to>
          <xdr:col>5</xdr:col>
          <xdr:colOff>295275</xdr:colOff>
          <xdr:row>1</xdr:row>
          <xdr:rowOff>323850</xdr:rowOff>
        </xdr:to>
        <xdr:sp macro="" textlink="">
          <xdr:nvSpPr>
            <xdr:cNvPr id="2207" name="BTN_MemberList_AddGet" hidden="1">
              <a:extLst>
                <a:ext uri="{63B3BB69-23CF-44E3-9099-C40C66FF867C}">
                  <a14:compatExt spid="_x0000_s2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161925</xdr:colOff>
          <xdr:row>1</xdr:row>
          <xdr:rowOff>9525</xdr:rowOff>
        </xdr:from>
        <xdr:to>
          <xdr:col>10</xdr:col>
          <xdr:colOff>76200</xdr:colOff>
          <xdr:row>1</xdr:row>
          <xdr:rowOff>323850</xdr:rowOff>
        </xdr:to>
        <xdr:sp macro="" textlink="">
          <xdr:nvSpPr>
            <xdr:cNvPr id="2367" name="BTN_MemberList_FilePutMem" hidden="1">
              <a:extLst>
                <a:ext uri="{63B3BB69-23CF-44E3-9099-C40C66FF867C}">
                  <a14:compatExt spid="_x0000_s2367"/>
                </a:ext>
              </a:extLst>
            </xdr:cNvPr>
            <xdr:cNvSpPr/>
          </xdr:nvSpPr>
          <xdr:spPr>
            <a:xfrm>
              <a:off x="0" y="0"/>
              <a:ext cx="0" cy="0"/>
            </a:xfrm>
            <a:prstGeom prst="rect">
              <a:avLst/>
            </a:prstGeom>
          </xdr:spPr>
        </xdr:sp>
        <xdr:clientData/>
      </xdr:twoCellAnchor>
    </mc:Choice>
    <mc:Fallback/>
  </mc:AlternateContent>
  <xdr:twoCellAnchor>
    <xdr:from>
      <xdr:col>8</xdr:col>
      <xdr:colOff>12700</xdr:colOff>
      <xdr:row>3</xdr:row>
      <xdr:rowOff>12700</xdr:rowOff>
    </xdr:from>
    <xdr:to>
      <xdr:col>8</xdr:col>
      <xdr:colOff>596900</xdr:colOff>
      <xdr:row>4</xdr:row>
      <xdr:rowOff>0</xdr:rowOff>
    </xdr:to>
    <xdr:sp macro="" textlink="">
      <xdr:nvSpPr>
        <xdr:cNvPr id="17" name="4Member"/>
        <xdr:cNvSpPr/>
      </xdr:nvSpPr>
      <xdr:spPr>
        <a:xfrm>
          <a:off x="4660900" y="860425"/>
          <a:ext cx="584200" cy="234950"/>
        </a:xfrm>
        <a:prstGeom prst="rect">
          <a:avLst/>
        </a:prstGeom>
        <a:gradFill flip="none" rotWithShape="1">
          <a:gsLst>
            <a:gs pos="0">
              <a:srgbClr val="4C6680"/>
            </a:gs>
            <a:gs pos="100000">
              <a:srgbClr val="CCE6FF"/>
            </a:gs>
          </a:gsLst>
          <a:lin ang="10800000" scaled="1"/>
          <a:tileRect/>
        </a:gra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4</xdr:row>
      <xdr:rowOff>85725</xdr:rowOff>
    </xdr:from>
    <xdr:to>
      <xdr:col>8</xdr:col>
      <xdr:colOff>596900</xdr:colOff>
      <xdr:row>4</xdr:row>
      <xdr:rowOff>161925</xdr:rowOff>
    </xdr:to>
    <xdr:sp macro="" textlink="">
      <xdr:nvSpPr>
        <xdr:cNvPr id="18" name="5Member"/>
        <xdr:cNvSpPr/>
      </xdr:nvSpPr>
      <xdr:spPr>
        <a:xfrm>
          <a:off x="4660900" y="1181100"/>
          <a:ext cx="584200" cy="76200"/>
        </a:xfrm>
        <a:prstGeom prst="rect">
          <a:avLst/>
        </a:prstGeom>
        <a:pattFill prst="ltUpDiag">
          <a:fgClr>
            <a:srgbClr val="000000"/>
          </a:fgClr>
          <a:bgClr>
            <a:srgbClr val="808080"/>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5</xdr:row>
      <xdr:rowOff>85725</xdr:rowOff>
    </xdr:from>
    <xdr:to>
      <xdr:col>8</xdr:col>
      <xdr:colOff>596900</xdr:colOff>
      <xdr:row>5</xdr:row>
      <xdr:rowOff>161925</xdr:rowOff>
    </xdr:to>
    <xdr:sp macro="" textlink="">
      <xdr:nvSpPr>
        <xdr:cNvPr id="19" name="6Member"/>
        <xdr:cNvSpPr/>
      </xdr:nvSpPr>
      <xdr:spPr>
        <a:xfrm>
          <a:off x="4660900" y="1428750"/>
          <a:ext cx="584200" cy="76200"/>
        </a:xfrm>
        <a:prstGeom prst="rect">
          <a:avLst/>
        </a:prstGeom>
        <a:pattFill prst="ltUpDiag">
          <a:fgClr>
            <a:srgbClr val="1A6666"/>
          </a:fgClr>
          <a:bgClr>
            <a:srgbClr val="99E6E6"/>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6</xdr:row>
      <xdr:rowOff>85725</xdr:rowOff>
    </xdr:from>
    <xdr:to>
      <xdr:col>8</xdr:col>
      <xdr:colOff>596900</xdr:colOff>
      <xdr:row>6</xdr:row>
      <xdr:rowOff>161925</xdr:rowOff>
    </xdr:to>
    <xdr:sp macro="" textlink="">
      <xdr:nvSpPr>
        <xdr:cNvPr id="20" name="7Member"/>
        <xdr:cNvSpPr/>
      </xdr:nvSpPr>
      <xdr:spPr>
        <a:xfrm>
          <a:off x="4660900" y="1676400"/>
          <a:ext cx="584200" cy="76200"/>
        </a:xfrm>
        <a:prstGeom prst="rect">
          <a:avLst/>
        </a:prstGeom>
        <a:pattFill prst="ltUpDiag">
          <a:fgClr>
            <a:srgbClr val="008000"/>
          </a:fgClr>
          <a:bgClr>
            <a:srgbClr val="80FF80"/>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7</xdr:row>
      <xdr:rowOff>85725</xdr:rowOff>
    </xdr:from>
    <xdr:to>
      <xdr:col>8</xdr:col>
      <xdr:colOff>596900</xdr:colOff>
      <xdr:row>7</xdr:row>
      <xdr:rowOff>161925</xdr:rowOff>
    </xdr:to>
    <xdr:sp macro="" textlink="">
      <xdr:nvSpPr>
        <xdr:cNvPr id="21" name="8Member"/>
        <xdr:cNvSpPr/>
      </xdr:nvSpPr>
      <xdr:spPr>
        <a:xfrm>
          <a:off x="4660900" y="1924050"/>
          <a:ext cx="584200" cy="76200"/>
        </a:xfrm>
        <a:prstGeom prst="rect">
          <a:avLst/>
        </a:prstGeom>
        <a:pattFill prst="ltUpDiag">
          <a:fgClr>
            <a:srgbClr val="800000"/>
          </a:fgClr>
          <a:bgClr>
            <a:srgbClr val="FF8080"/>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8</xdr:row>
      <xdr:rowOff>85725</xdr:rowOff>
    </xdr:from>
    <xdr:to>
      <xdr:col>8</xdr:col>
      <xdr:colOff>596900</xdr:colOff>
      <xdr:row>8</xdr:row>
      <xdr:rowOff>161925</xdr:rowOff>
    </xdr:to>
    <xdr:sp macro="" textlink="">
      <xdr:nvSpPr>
        <xdr:cNvPr id="22" name="9Member"/>
        <xdr:cNvSpPr/>
      </xdr:nvSpPr>
      <xdr:spPr>
        <a:xfrm>
          <a:off x="4660900" y="2171700"/>
          <a:ext cx="584200" cy="76200"/>
        </a:xfrm>
        <a:prstGeom prst="rect">
          <a:avLst/>
        </a:prstGeom>
        <a:pattFill prst="ltUpDiag">
          <a:fgClr>
            <a:srgbClr val="1A6666"/>
          </a:fgClr>
          <a:bgClr>
            <a:srgbClr val="99E6E6"/>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9</xdr:row>
      <xdr:rowOff>85725</xdr:rowOff>
    </xdr:from>
    <xdr:to>
      <xdr:col>8</xdr:col>
      <xdr:colOff>596900</xdr:colOff>
      <xdr:row>9</xdr:row>
      <xdr:rowOff>161925</xdr:rowOff>
    </xdr:to>
    <xdr:sp macro="" textlink="">
      <xdr:nvSpPr>
        <xdr:cNvPr id="23" name="10Member"/>
        <xdr:cNvSpPr/>
      </xdr:nvSpPr>
      <xdr:spPr>
        <a:xfrm>
          <a:off x="4660900" y="2419350"/>
          <a:ext cx="584200" cy="76200"/>
        </a:xfrm>
        <a:prstGeom prst="rect">
          <a:avLst/>
        </a:prstGeom>
        <a:pattFill prst="ltUpDiag">
          <a:fgClr>
            <a:srgbClr val="008000"/>
          </a:fgClr>
          <a:bgClr>
            <a:srgbClr val="80FF80"/>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10</xdr:row>
      <xdr:rowOff>85725</xdr:rowOff>
    </xdr:from>
    <xdr:to>
      <xdr:col>8</xdr:col>
      <xdr:colOff>596900</xdr:colOff>
      <xdr:row>10</xdr:row>
      <xdr:rowOff>161925</xdr:rowOff>
    </xdr:to>
    <xdr:sp macro="" textlink="">
      <xdr:nvSpPr>
        <xdr:cNvPr id="24" name="11Member"/>
        <xdr:cNvSpPr/>
      </xdr:nvSpPr>
      <xdr:spPr>
        <a:xfrm>
          <a:off x="4660900" y="2667000"/>
          <a:ext cx="584200" cy="76200"/>
        </a:xfrm>
        <a:prstGeom prst="rect">
          <a:avLst/>
        </a:prstGeom>
        <a:pattFill prst="ltUpDiag">
          <a:fgClr>
            <a:srgbClr val="400040"/>
          </a:fgClr>
          <a:bgClr>
            <a:srgbClr val="C080C0"/>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11</xdr:row>
      <xdr:rowOff>85725</xdr:rowOff>
    </xdr:from>
    <xdr:to>
      <xdr:col>8</xdr:col>
      <xdr:colOff>596900</xdr:colOff>
      <xdr:row>11</xdr:row>
      <xdr:rowOff>161925</xdr:rowOff>
    </xdr:to>
    <xdr:sp macro="" textlink="">
      <xdr:nvSpPr>
        <xdr:cNvPr id="25" name="12Member"/>
        <xdr:cNvSpPr/>
      </xdr:nvSpPr>
      <xdr:spPr>
        <a:xfrm>
          <a:off x="4660900" y="2914650"/>
          <a:ext cx="584200" cy="76200"/>
        </a:xfrm>
        <a:prstGeom prst="rect">
          <a:avLst/>
        </a:prstGeom>
        <a:pattFill prst="ltUpDiag">
          <a:fgClr>
            <a:srgbClr val="806600"/>
          </a:fgClr>
          <a:bgClr>
            <a:srgbClr val="FFE680"/>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12</xdr:row>
      <xdr:rowOff>85725</xdr:rowOff>
    </xdr:from>
    <xdr:to>
      <xdr:col>8</xdr:col>
      <xdr:colOff>596900</xdr:colOff>
      <xdr:row>12</xdr:row>
      <xdr:rowOff>161925</xdr:rowOff>
    </xdr:to>
    <xdr:sp macro="" textlink="">
      <xdr:nvSpPr>
        <xdr:cNvPr id="26" name="13Member"/>
        <xdr:cNvSpPr/>
      </xdr:nvSpPr>
      <xdr:spPr>
        <a:xfrm>
          <a:off x="4660900" y="3162300"/>
          <a:ext cx="584200" cy="76200"/>
        </a:xfrm>
        <a:prstGeom prst="rect">
          <a:avLst/>
        </a:prstGeom>
        <a:pattFill prst="ltUpDiag">
          <a:fgClr>
            <a:srgbClr val="800000"/>
          </a:fgClr>
          <a:bgClr>
            <a:srgbClr val="FF8080"/>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13</xdr:row>
      <xdr:rowOff>85725</xdr:rowOff>
    </xdr:from>
    <xdr:to>
      <xdr:col>8</xdr:col>
      <xdr:colOff>596900</xdr:colOff>
      <xdr:row>13</xdr:row>
      <xdr:rowOff>161925</xdr:rowOff>
    </xdr:to>
    <xdr:sp macro="" textlink="">
      <xdr:nvSpPr>
        <xdr:cNvPr id="27" name="14Member"/>
        <xdr:cNvSpPr/>
      </xdr:nvSpPr>
      <xdr:spPr>
        <a:xfrm>
          <a:off x="4660900" y="3409950"/>
          <a:ext cx="584200" cy="76200"/>
        </a:xfrm>
        <a:prstGeom prst="rect">
          <a:avLst/>
        </a:prstGeom>
        <a:pattFill prst="ltUpDiag">
          <a:fgClr>
            <a:srgbClr val="4C6600"/>
          </a:fgClr>
          <a:bgClr>
            <a:srgbClr val="CCE680"/>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14</xdr:row>
      <xdr:rowOff>85725</xdr:rowOff>
    </xdr:from>
    <xdr:to>
      <xdr:col>8</xdr:col>
      <xdr:colOff>596900</xdr:colOff>
      <xdr:row>14</xdr:row>
      <xdr:rowOff>161925</xdr:rowOff>
    </xdr:to>
    <xdr:sp macro="" textlink="">
      <xdr:nvSpPr>
        <xdr:cNvPr id="28" name="15Member"/>
        <xdr:cNvSpPr/>
      </xdr:nvSpPr>
      <xdr:spPr>
        <a:xfrm>
          <a:off x="4660900" y="3657600"/>
          <a:ext cx="584200" cy="76200"/>
        </a:xfrm>
        <a:prstGeom prst="rect">
          <a:avLst/>
        </a:prstGeom>
        <a:pattFill prst="ltUpDiag">
          <a:fgClr>
            <a:srgbClr val="806600"/>
          </a:fgClr>
          <a:bgClr>
            <a:srgbClr val="FFE680"/>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15</xdr:row>
      <xdr:rowOff>85725</xdr:rowOff>
    </xdr:from>
    <xdr:to>
      <xdr:col>8</xdr:col>
      <xdr:colOff>596900</xdr:colOff>
      <xdr:row>15</xdr:row>
      <xdr:rowOff>161925</xdr:rowOff>
    </xdr:to>
    <xdr:sp macro="" textlink="">
      <xdr:nvSpPr>
        <xdr:cNvPr id="29" name="11Member"/>
        <xdr:cNvSpPr/>
      </xdr:nvSpPr>
      <xdr:spPr>
        <a:xfrm>
          <a:off x="4673600" y="2727325"/>
          <a:ext cx="584200" cy="76200"/>
        </a:xfrm>
        <a:prstGeom prst="rect">
          <a:avLst/>
        </a:prstGeom>
        <a:pattFill prst="ltUpDiag">
          <a:fgClr>
            <a:srgbClr val="400040"/>
          </a:fgClr>
          <a:bgClr>
            <a:srgbClr val="C080C0"/>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15</xdr:row>
      <xdr:rowOff>85725</xdr:rowOff>
    </xdr:from>
    <xdr:to>
      <xdr:col>8</xdr:col>
      <xdr:colOff>596900</xdr:colOff>
      <xdr:row>15</xdr:row>
      <xdr:rowOff>161925</xdr:rowOff>
    </xdr:to>
    <xdr:sp macro="" textlink="">
      <xdr:nvSpPr>
        <xdr:cNvPr id="2" name="16Member"/>
        <xdr:cNvSpPr/>
      </xdr:nvSpPr>
      <xdr:spPr>
        <a:xfrm>
          <a:off x="4660900" y="3905250"/>
          <a:ext cx="584200" cy="76200"/>
        </a:xfrm>
        <a:prstGeom prst="rect">
          <a:avLst/>
        </a:prstGeom>
        <a:pattFill prst="ltUpDiag">
          <a:fgClr>
            <a:srgbClr val="400040"/>
          </a:fgClr>
          <a:bgClr>
            <a:srgbClr val="C080C0"/>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409575</xdr:colOff>
          <xdr:row>1</xdr:row>
          <xdr:rowOff>28575</xdr:rowOff>
        </xdr:from>
        <xdr:to>
          <xdr:col>4</xdr:col>
          <xdr:colOff>733425</xdr:colOff>
          <xdr:row>1</xdr:row>
          <xdr:rowOff>342900</xdr:rowOff>
        </xdr:to>
        <xdr:sp macro="" textlink="">
          <xdr:nvSpPr>
            <xdr:cNvPr id="4097" name="BTN_BaseProcess_FilePut"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742950</xdr:colOff>
          <xdr:row>1</xdr:row>
          <xdr:rowOff>28575</xdr:rowOff>
        </xdr:from>
        <xdr:to>
          <xdr:col>4</xdr:col>
          <xdr:colOff>1514475</xdr:colOff>
          <xdr:row>1</xdr:row>
          <xdr:rowOff>342900</xdr:rowOff>
        </xdr:to>
        <xdr:sp macro="" textlink="">
          <xdr:nvSpPr>
            <xdr:cNvPr id="4098" name="BTN_BaseProcess_FileGet"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66675</xdr:colOff>
          <xdr:row>5</xdr:row>
          <xdr:rowOff>76200</xdr:rowOff>
        </xdr:from>
        <xdr:to>
          <xdr:col>2</xdr:col>
          <xdr:colOff>1362075</xdr:colOff>
          <xdr:row>6</xdr:row>
          <xdr:rowOff>161925</xdr:rowOff>
        </xdr:to>
        <xdr:sp macro="" textlink="">
          <xdr:nvSpPr>
            <xdr:cNvPr id="3080" name="BTN_Config_Rewrite" hidden="1">
              <a:extLst>
                <a:ext uri="{63B3BB69-23CF-44E3-9099-C40C66FF867C}">
                  <a14:compatExt spid="_x0000_s3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6</xdr:row>
          <xdr:rowOff>200025</xdr:rowOff>
        </xdr:from>
        <xdr:to>
          <xdr:col>2</xdr:col>
          <xdr:colOff>1362075</xdr:colOff>
          <xdr:row>8</xdr:row>
          <xdr:rowOff>38100</xdr:rowOff>
        </xdr:to>
        <xdr:sp macro="" textlink="">
          <xdr:nvSpPr>
            <xdr:cNvPr id="3118" name="BTN_Config_DataShift" hidden="1">
              <a:extLst>
                <a:ext uri="{63B3BB69-23CF-44E3-9099-C40C66FF867C}">
                  <a14:compatExt spid="_x0000_s3118"/>
                </a:ext>
              </a:extLst>
            </xdr:cNvPr>
            <xdr:cNvSpPr/>
          </xdr:nvSpPr>
          <xdr:spPr>
            <a:xfrm>
              <a:off x="0" y="0"/>
              <a:ext cx="0" cy="0"/>
            </a:xfrm>
            <a:prstGeom prst="rect">
              <a:avLst/>
            </a:prstGeom>
          </xdr:spPr>
        </xdr:sp>
        <xdr:clientData/>
      </xdr:twoCellAnchor>
    </mc:Choice>
    <mc:Fallback/>
  </mc:AlternateContent>
  <xdr:twoCellAnchor editAs="oneCell">
    <xdr:from>
      <xdr:col>24</xdr:col>
      <xdr:colOff>409575</xdr:colOff>
      <xdr:row>3</xdr:row>
      <xdr:rowOff>200025</xdr:rowOff>
    </xdr:from>
    <xdr:to>
      <xdr:col>26</xdr:col>
      <xdr:colOff>476250</xdr:colOff>
      <xdr:row>20</xdr:row>
      <xdr:rowOff>200025</xdr:rowOff>
    </xdr:to>
    <xdr:pic>
      <xdr:nvPicPr>
        <xdr:cNvPr id="94665" name="Picture 1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06475" y="1019175"/>
          <a:ext cx="1476375" cy="4171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30</xdr:col>
          <xdr:colOff>0</xdr:colOff>
          <xdr:row>2</xdr:row>
          <xdr:rowOff>66675</xdr:rowOff>
        </xdr:from>
        <xdr:to>
          <xdr:col>31</xdr:col>
          <xdr:colOff>0</xdr:colOff>
          <xdr:row>3</xdr:row>
          <xdr:rowOff>200025</xdr:rowOff>
        </xdr:to>
        <xdr:sp macro="" textlink="">
          <xdr:nvSpPr>
            <xdr:cNvPr id="3268" name="BTN_Config_Template1Set" hidden="1">
              <a:extLst>
                <a:ext uri="{63B3BB69-23CF-44E3-9099-C40C66FF867C}">
                  <a14:compatExt spid="_x0000_s3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2</xdr:row>
          <xdr:rowOff>66675</xdr:rowOff>
        </xdr:from>
        <xdr:to>
          <xdr:col>33</xdr:col>
          <xdr:colOff>0</xdr:colOff>
          <xdr:row>3</xdr:row>
          <xdr:rowOff>200025</xdr:rowOff>
        </xdr:to>
        <xdr:sp macro="" textlink="">
          <xdr:nvSpPr>
            <xdr:cNvPr id="3269" name="BTN_Config_Template2Set" hidden="1">
              <a:extLst>
                <a:ext uri="{63B3BB69-23CF-44E3-9099-C40C66FF867C}">
                  <a14:compatExt spid="_x0000_s3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55</xdr:row>
          <xdr:rowOff>85725</xdr:rowOff>
        </xdr:from>
        <xdr:to>
          <xdr:col>31</xdr:col>
          <xdr:colOff>0</xdr:colOff>
          <xdr:row>56</xdr:row>
          <xdr:rowOff>190500</xdr:rowOff>
        </xdr:to>
        <xdr:sp macro="" textlink="">
          <xdr:nvSpPr>
            <xdr:cNvPr id="3319" name="BTN_Config_Template1Get" hidden="1">
              <a:extLst>
                <a:ext uri="{63B3BB69-23CF-44E3-9099-C40C66FF867C}">
                  <a14:compatExt spid="_x0000_s33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55</xdr:row>
          <xdr:rowOff>85725</xdr:rowOff>
        </xdr:from>
        <xdr:to>
          <xdr:col>33</xdr:col>
          <xdr:colOff>0</xdr:colOff>
          <xdr:row>56</xdr:row>
          <xdr:rowOff>190500</xdr:rowOff>
        </xdr:to>
        <xdr:sp macro="" textlink="">
          <xdr:nvSpPr>
            <xdr:cNvPr id="3320" name="BTN_Config_Template2Get" hidden="1">
              <a:extLst>
                <a:ext uri="{63B3BB69-23CF-44E3-9099-C40C66FF867C}">
                  <a14:compatExt spid="_x0000_s33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31</xdr:row>
          <xdr:rowOff>47625</xdr:rowOff>
        </xdr:from>
        <xdr:to>
          <xdr:col>27</xdr:col>
          <xdr:colOff>19050</xdr:colOff>
          <xdr:row>32</xdr:row>
          <xdr:rowOff>76200</xdr:rowOff>
        </xdr:to>
        <xdr:sp macro="" textlink="">
          <xdr:nvSpPr>
            <xdr:cNvPr id="3379" name="BTN_Config_BackPictGet" hidden="1">
              <a:extLst>
                <a:ext uri="{63B3BB69-23CF-44E3-9099-C40C66FF867C}">
                  <a14:compatExt spid="_x0000_s33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9</xdr:row>
          <xdr:rowOff>228600</xdr:rowOff>
        </xdr:from>
        <xdr:to>
          <xdr:col>2</xdr:col>
          <xdr:colOff>1362075</xdr:colOff>
          <xdr:row>11</xdr:row>
          <xdr:rowOff>57150</xdr:rowOff>
        </xdr:to>
        <xdr:sp macro="" textlink="">
          <xdr:nvSpPr>
            <xdr:cNvPr id="3608" name="BTN_Config_Repair" hidden="1">
              <a:extLst>
                <a:ext uri="{63B3BB69-23CF-44E3-9099-C40C66FF867C}">
                  <a14:compatExt spid="_x0000_s3608"/>
                </a:ext>
              </a:extLst>
            </xdr:cNvPr>
            <xdr:cNvSpPr/>
          </xdr:nvSpPr>
          <xdr:spPr>
            <a:xfrm>
              <a:off x="0" y="0"/>
              <a:ext cx="0" cy="0"/>
            </a:xfrm>
            <a:prstGeom prst="rect">
              <a:avLst/>
            </a:prstGeom>
          </xdr:spPr>
        </xdr:sp>
        <xdr:clientData/>
      </xdr:twoCellAnchor>
    </mc:Choice>
    <mc:Fallback/>
  </mc:AlternateContent>
  <xdr:twoCellAnchor>
    <xdr:from>
      <xdr:col>25</xdr:col>
      <xdr:colOff>695325</xdr:colOff>
      <xdr:row>38</xdr:row>
      <xdr:rowOff>9525</xdr:rowOff>
    </xdr:from>
    <xdr:to>
      <xdr:col>25</xdr:col>
      <xdr:colOff>800100</xdr:colOff>
      <xdr:row>39</xdr:row>
      <xdr:rowOff>85725</xdr:rowOff>
    </xdr:to>
    <xdr:sp macro="" textlink="">
      <xdr:nvSpPr>
        <xdr:cNvPr id="3943" name="DEFC_LineForm_NowDate"/>
        <xdr:cNvSpPr>
          <a:spLocks noChangeArrowheads="1"/>
        </xdr:cNvSpPr>
      </xdr:nvSpPr>
      <xdr:spPr bwMode="auto">
        <a:xfrm>
          <a:off x="14420850" y="9458325"/>
          <a:ext cx="104775" cy="323850"/>
        </a:xfrm>
        <a:prstGeom prst="rect">
          <a:avLst/>
        </a:prstGeom>
        <a:gradFill rotWithShape="0">
          <a:gsLst>
            <a:gs pos="0">
              <a:srgbClr xmlns:mc="http://schemas.openxmlformats.org/markup-compatibility/2006" xmlns:a14="http://schemas.microsoft.com/office/drawing/2010/main" val="FFFFFF" mc:Ignorable="a14" a14:legacySpreadsheetColorIndex="10">
                <a:gamma/>
                <a:tint val="0"/>
                <a:invGamma/>
                <a:alpha val="0"/>
              </a:srgbClr>
            </a:gs>
            <a:gs pos="50000">
              <a:srgbClr xmlns:mc="http://schemas.openxmlformats.org/markup-compatibility/2006" xmlns:a14="http://schemas.microsoft.com/office/drawing/2010/main" val="FF0000" mc:Ignorable="a14" a14:legacySpreadsheetColorIndex="10"/>
            </a:gs>
            <a:gs pos="100000">
              <a:srgbClr xmlns:mc="http://schemas.openxmlformats.org/markup-compatibility/2006" xmlns:a14="http://schemas.microsoft.com/office/drawing/2010/main" val="FFFFFF" mc:Ignorable="a14" a14:legacySpreadsheetColorIndex="10">
                <a:gamma/>
                <a:tint val="0"/>
                <a:invGamma/>
                <a:alpha val="0"/>
              </a:srgbClr>
            </a:gs>
          </a:gsLst>
          <a:lin ang="0" scaled="1"/>
        </a:gradFill>
        <a:ln>
          <a:noFill/>
        </a:ln>
      </xdr:spPr>
      <xdr:txBody>
        <a:bodyPr/>
        <a:lstStyle/>
        <a:p>
          <a:endParaRPr lang="ja-JP" altLang="en-US"/>
        </a:p>
      </xdr:txBody>
    </xdr:sp>
    <xdr:clientData fLocksWithSheet="0"/>
  </xdr:twoCellAnchor>
  <xdr:twoCellAnchor>
    <xdr:from>
      <xdr:col>26</xdr:col>
      <xdr:colOff>152400</xdr:colOff>
      <xdr:row>38</xdr:row>
      <xdr:rowOff>9525</xdr:rowOff>
    </xdr:from>
    <xdr:to>
      <xdr:col>26</xdr:col>
      <xdr:colOff>476250</xdr:colOff>
      <xdr:row>39</xdr:row>
      <xdr:rowOff>85725</xdr:rowOff>
    </xdr:to>
    <xdr:sp macro="" textlink="">
      <xdr:nvSpPr>
        <xdr:cNvPr id="94667" name="DEFC_LineForm_Inasma"/>
        <xdr:cNvSpPr>
          <a:spLocks/>
        </xdr:cNvSpPr>
      </xdr:nvSpPr>
      <xdr:spPr bwMode="auto">
        <a:xfrm>
          <a:off x="14859000" y="9458325"/>
          <a:ext cx="323850" cy="323850"/>
        </a:xfrm>
        <a:custGeom>
          <a:avLst/>
          <a:gdLst>
            <a:gd name="T0" fmla="*/ 0 w 117"/>
            <a:gd name="T1" fmla="*/ 0 h 220"/>
            <a:gd name="T2" fmla="*/ 0 w 117"/>
            <a:gd name="T3" fmla="*/ 2147483647 h 220"/>
            <a:gd name="T4" fmla="*/ 2147483647 w 117"/>
            <a:gd name="T5" fmla="*/ 2147483647 h 220"/>
            <a:gd name="T6" fmla="*/ 0 w 117"/>
            <a:gd name="T7" fmla="*/ 2147483647 h 220"/>
            <a:gd name="T8" fmla="*/ 0 w 117"/>
            <a:gd name="T9" fmla="*/ 2147483647 h 22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17" h="220">
              <a:moveTo>
                <a:pt x="0" y="0"/>
              </a:moveTo>
              <a:lnTo>
                <a:pt x="0" y="82"/>
              </a:lnTo>
              <a:lnTo>
                <a:pt x="117" y="109"/>
              </a:lnTo>
              <a:lnTo>
                <a:pt x="0" y="138"/>
              </a:lnTo>
              <a:lnTo>
                <a:pt x="0" y="220"/>
              </a:lnTo>
            </a:path>
          </a:pathLst>
        </a:custGeom>
        <a:noFill/>
        <a:ln w="12700" cap="flat" cmpd="sng">
          <a:solidFill>
            <a:srgbClr xmlns:mc="http://schemas.openxmlformats.org/markup-compatibility/2006" xmlns:a14="http://schemas.microsoft.com/office/drawing/2010/main" val="FF0000" mc:Ignorable="a14" a14:legacySpreadsheetColorIndex="10"/>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fLocksWithSheet="0"/>
  </xdr:twoCellAnchor>
  <mc:AlternateContent xmlns:mc="http://schemas.openxmlformats.org/markup-compatibility/2006">
    <mc:Choice xmlns:a14="http://schemas.microsoft.com/office/drawing/2010/main" Requires="a14">
      <xdr:twoCellAnchor editAs="oneCell">
        <xdr:from>
          <xdr:col>2</xdr:col>
          <xdr:colOff>66675</xdr:colOff>
          <xdr:row>8</xdr:row>
          <xdr:rowOff>104775</xdr:rowOff>
        </xdr:from>
        <xdr:to>
          <xdr:col>2</xdr:col>
          <xdr:colOff>1362075</xdr:colOff>
          <xdr:row>9</xdr:row>
          <xdr:rowOff>180975</xdr:rowOff>
        </xdr:to>
        <xdr:sp macro="" textlink="">
          <xdr:nvSpPr>
            <xdr:cNvPr id="3786" name="BTN_Config_AllDataDel" hidden="1">
              <a:extLst>
                <a:ext uri="{63B3BB69-23CF-44E3-9099-C40C66FF867C}">
                  <a14:compatExt spid="_x0000_s3786"/>
                </a:ext>
              </a:extLst>
            </xdr:cNvPr>
            <xdr:cNvSpPr/>
          </xdr:nvSpPr>
          <xdr:spPr>
            <a:xfrm>
              <a:off x="0" y="0"/>
              <a:ext cx="0" cy="0"/>
            </a:xfrm>
            <a:prstGeom prst="rect">
              <a:avLst/>
            </a:prstGeom>
          </xdr:spPr>
        </xdr:sp>
        <xdr:clientData/>
      </xdr:twoCellAnchor>
    </mc:Choice>
    <mc:Fallback/>
  </mc:AlternateContent>
  <xdr:twoCellAnchor>
    <xdr:from>
      <xdr:col>25</xdr:col>
      <xdr:colOff>142875</xdr:colOff>
      <xdr:row>38</xdr:row>
      <xdr:rowOff>9525</xdr:rowOff>
    </xdr:from>
    <xdr:to>
      <xdr:col>25</xdr:col>
      <xdr:colOff>228600</xdr:colOff>
      <xdr:row>38</xdr:row>
      <xdr:rowOff>85725</xdr:rowOff>
    </xdr:to>
    <xdr:sp macro="" textlink="">
      <xdr:nvSpPr>
        <xdr:cNvPr id="94668" name="Rectangle 788"/>
        <xdr:cNvSpPr>
          <a:spLocks noChangeArrowheads="1"/>
        </xdr:cNvSpPr>
      </xdr:nvSpPr>
      <xdr:spPr bwMode="auto">
        <a:xfrm>
          <a:off x="13868400" y="9458325"/>
          <a:ext cx="85725" cy="762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25</xdr:col>
      <xdr:colOff>390525</xdr:colOff>
      <xdr:row>39</xdr:row>
      <xdr:rowOff>9525</xdr:rowOff>
    </xdr:from>
    <xdr:to>
      <xdr:col>25</xdr:col>
      <xdr:colOff>476250</xdr:colOff>
      <xdr:row>39</xdr:row>
      <xdr:rowOff>85725</xdr:rowOff>
    </xdr:to>
    <xdr:sp macro="" textlink="">
      <xdr:nvSpPr>
        <xdr:cNvPr id="94669" name="Rectangle 789"/>
        <xdr:cNvSpPr>
          <a:spLocks noChangeArrowheads="1"/>
        </xdr:cNvSpPr>
      </xdr:nvSpPr>
      <xdr:spPr bwMode="auto">
        <a:xfrm>
          <a:off x="14116050" y="9705975"/>
          <a:ext cx="85725" cy="762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25</xdr:col>
      <xdr:colOff>228600</xdr:colOff>
      <xdr:row>38</xdr:row>
      <xdr:rowOff>47625</xdr:rowOff>
    </xdr:from>
    <xdr:to>
      <xdr:col>25</xdr:col>
      <xdr:colOff>390525</xdr:colOff>
      <xdr:row>39</xdr:row>
      <xdr:rowOff>47625</xdr:rowOff>
    </xdr:to>
    <xdr:cxnSp macro="">
      <xdr:nvCxnSpPr>
        <xdr:cNvPr id="94670" name="DEFC_LineForm_Connect"/>
        <xdr:cNvCxnSpPr>
          <a:cxnSpLocks noChangeShapeType="1"/>
          <a:stCxn id="94668" idx="3"/>
          <a:endCxn id="94669" idx="1"/>
        </xdr:cNvCxnSpPr>
      </xdr:nvCxnSpPr>
      <xdr:spPr bwMode="auto">
        <a:xfrm>
          <a:off x="13954125" y="9496425"/>
          <a:ext cx="161925" cy="247650"/>
        </a:xfrm>
        <a:prstGeom prst="bentConnector3">
          <a:avLst>
            <a:gd name="adj1" fmla="val 47060"/>
          </a:avLst>
        </a:prstGeom>
        <a:noFill/>
        <a:ln w="3175">
          <a:solidFill>
            <a:srgbClr xmlns:mc="http://schemas.openxmlformats.org/markup-compatibility/2006" xmlns:a14="http://schemas.microsoft.com/office/drawing/2010/main" val="0000FF" mc:Ignorable="a14" a14:legacySpreadsheetColorIndex="12"/>
          </a:solidFill>
          <a:miter lim="800000"/>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25</xdr:col>
      <xdr:colOff>771525</xdr:colOff>
      <xdr:row>38</xdr:row>
      <xdr:rowOff>9525</xdr:rowOff>
    </xdr:from>
    <xdr:to>
      <xdr:col>25</xdr:col>
      <xdr:colOff>876300</xdr:colOff>
      <xdr:row>39</xdr:row>
      <xdr:rowOff>85725</xdr:rowOff>
    </xdr:to>
    <xdr:sp macro="" textlink="">
      <xdr:nvSpPr>
        <xdr:cNvPr id="3961" name="DEFC_LineForm_NowDate2003"/>
        <xdr:cNvSpPr>
          <a:spLocks noChangeArrowheads="1"/>
        </xdr:cNvSpPr>
      </xdr:nvSpPr>
      <xdr:spPr bwMode="auto">
        <a:xfrm>
          <a:off x="14497050" y="9458325"/>
          <a:ext cx="104775" cy="323850"/>
        </a:xfrm>
        <a:prstGeom prst="rect">
          <a:avLst/>
        </a:prstGeom>
        <a:gradFill rotWithShape="0">
          <a:gsLst>
            <a:gs pos="0">
              <a:srgbClr xmlns:mc="http://schemas.openxmlformats.org/markup-compatibility/2006" xmlns:a14="http://schemas.microsoft.com/office/drawing/2010/main" val="FFFFFF" mc:Ignorable="a14" a14:legacySpreadsheetColorIndex="10">
                <a:gamma/>
                <a:tint val="0"/>
                <a:invGamma/>
                <a:alpha val="0"/>
              </a:srgbClr>
            </a:gs>
            <a:gs pos="50000">
              <a:srgbClr xmlns:mc="http://schemas.openxmlformats.org/markup-compatibility/2006" xmlns:a14="http://schemas.microsoft.com/office/drawing/2010/main" val="FF0000" mc:Ignorable="a14" a14:legacySpreadsheetColorIndex="10"/>
            </a:gs>
            <a:gs pos="100000">
              <a:srgbClr xmlns:mc="http://schemas.openxmlformats.org/markup-compatibility/2006" xmlns:a14="http://schemas.microsoft.com/office/drawing/2010/main" val="FFFFFF" mc:Ignorable="a14" a14:legacySpreadsheetColorIndex="10">
                <a:gamma/>
                <a:tint val="0"/>
                <a:invGamma/>
                <a:alpha val="0"/>
              </a:srgbClr>
            </a:gs>
          </a:gsLst>
          <a:lin ang="0" scaled="1"/>
        </a:gradFill>
        <a:ln>
          <a:noFill/>
        </a:ln>
        <a:extLst>
          <a:ext uri="{91240B29-F687-4F45-9708-019B960494DF}">
            <a14:hiddenLine xmlns:a14="http://schemas.microsoft.com/office/drawing/2010/main" w="9525">
              <a:solidFill>
                <a:srgbClr val="000000"/>
              </a:solidFill>
              <a:miter lim="800000"/>
              <a:headEnd/>
              <a:tailEnd/>
            </a14:hiddenLine>
          </a:ext>
        </a:extLst>
      </xdr:spPr>
      <xdr:txBody>
        <a:bodyPr/>
        <a:lstStyle/>
        <a:p>
          <a:endParaRPr lang="ja-JP" altLang="en-US"/>
        </a:p>
      </xdr:txBody>
    </xdr:sp>
    <xdr:clientData fLock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Iss1-ntsv6\_G_Project\084-&#23500;&#22763;&#36890;&#12459;&#12531;&#12479;&#12512;\Class-A\&#38283;&#30330;-2(9904)\03-&#25171;&#21512;&#12379;\990617to22\2-&#31532;1&#65420;&#65386;&#65392;&#65405;&#65438;&#27231;&#33021;&#25913;&#2189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仕様の確認"/>
      <sheetName val="型格推移変更点"/>
      <sheetName val="工数概算（未提出）"/>
    </sheetNames>
    <sheetDataSet>
      <sheetData sheetId="0"/>
      <sheetData sheetId="1"/>
      <sheetData sheetId="2"/>
      <sheetData sheetId="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12.emf"/><Relationship Id="rId3" Type="http://schemas.openxmlformats.org/officeDocument/2006/relationships/image" Target="../media/image7.png"/><Relationship Id="rId7" Type="http://schemas.openxmlformats.org/officeDocument/2006/relationships/image" Target="../media/image9.emf"/><Relationship Id="rId12" Type="http://schemas.openxmlformats.org/officeDocument/2006/relationships/control" Target="../activeX/activeX11.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ontrol" Target="../activeX/activeX8.xml"/><Relationship Id="rId11" Type="http://schemas.openxmlformats.org/officeDocument/2006/relationships/image" Target="../media/image11.emf"/><Relationship Id="rId5" Type="http://schemas.openxmlformats.org/officeDocument/2006/relationships/image" Target="../media/image8.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10.emf"/></Relationships>
</file>

<file path=xl/worksheets/_rels/sheet3.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vmlDrawing" Target="../drawings/vmlDrawing3.vml"/><Relationship Id="rId7" Type="http://schemas.openxmlformats.org/officeDocument/2006/relationships/control" Target="../activeX/activeX13.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image" Target="../media/image13.emf"/><Relationship Id="rId5" Type="http://schemas.openxmlformats.org/officeDocument/2006/relationships/control" Target="../activeX/activeX12.xml"/><Relationship Id="rId4" Type="http://schemas.openxmlformats.org/officeDocument/2006/relationships/image" Target="../media/image7.png"/></Relationships>
</file>

<file path=xl/worksheets/_rels/sheet4.x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control" Target="../activeX/activeX18.xml"/><Relationship Id="rId18" Type="http://schemas.openxmlformats.org/officeDocument/2006/relationships/image" Target="../media/image21.emf"/><Relationship Id="rId3" Type="http://schemas.openxmlformats.org/officeDocument/2006/relationships/vmlDrawing" Target="../drawings/vmlDrawing4.vml"/><Relationship Id="rId21" Type="http://schemas.openxmlformats.org/officeDocument/2006/relationships/control" Target="../activeX/activeX22.xml"/><Relationship Id="rId7" Type="http://schemas.openxmlformats.org/officeDocument/2006/relationships/control" Target="../activeX/activeX15.xml"/><Relationship Id="rId12" Type="http://schemas.openxmlformats.org/officeDocument/2006/relationships/image" Target="../media/image18.emf"/><Relationship Id="rId17" Type="http://schemas.openxmlformats.org/officeDocument/2006/relationships/control" Target="../activeX/activeX20.xml"/><Relationship Id="rId2" Type="http://schemas.openxmlformats.org/officeDocument/2006/relationships/drawing" Target="../drawings/drawing4.xml"/><Relationship Id="rId16" Type="http://schemas.openxmlformats.org/officeDocument/2006/relationships/image" Target="../media/image20.emf"/><Relationship Id="rId20" Type="http://schemas.openxmlformats.org/officeDocument/2006/relationships/image" Target="../media/image22.emf"/><Relationship Id="rId1" Type="http://schemas.openxmlformats.org/officeDocument/2006/relationships/printerSettings" Target="../printerSettings/printerSettings3.bin"/><Relationship Id="rId6" Type="http://schemas.openxmlformats.org/officeDocument/2006/relationships/image" Target="../media/image15.emf"/><Relationship Id="rId11" Type="http://schemas.openxmlformats.org/officeDocument/2006/relationships/control" Target="../activeX/activeX17.xml"/><Relationship Id="rId5" Type="http://schemas.openxmlformats.org/officeDocument/2006/relationships/control" Target="../activeX/activeX14.xml"/><Relationship Id="rId15" Type="http://schemas.openxmlformats.org/officeDocument/2006/relationships/control" Target="../activeX/activeX19.xml"/><Relationship Id="rId23" Type="http://schemas.openxmlformats.org/officeDocument/2006/relationships/comments" Target="../comments2.xml"/><Relationship Id="rId10" Type="http://schemas.openxmlformats.org/officeDocument/2006/relationships/image" Target="../media/image17.emf"/><Relationship Id="rId19" Type="http://schemas.openxmlformats.org/officeDocument/2006/relationships/control" Target="../activeX/activeX21.xml"/><Relationship Id="rId4" Type="http://schemas.openxmlformats.org/officeDocument/2006/relationships/image" Target="../media/image7.png"/><Relationship Id="rId9" Type="http://schemas.openxmlformats.org/officeDocument/2006/relationships/control" Target="../activeX/activeX16.xml"/><Relationship Id="rId14" Type="http://schemas.openxmlformats.org/officeDocument/2006/relationships/image" Target="../media/image19.emf"/><Relationship Id="rId22" Type="http://schemas.openxmlformats.org/officeDocument/2006/relationships/image" Target="../media/image23.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indexed="50"/>
    <outlinePr summaryBelow="0"/>
    <pageSetUpPr fitToPage="1"/>
  </sheetPr>
  <dimension ref="A1:GQ199"/>
  <sheetViews>
    <sheetView showGridLines="0" tabSelected="1" zoomScale="85" zoomScaleNormal="85" workbookViewId="0">
      <pane xSplit="5" ySplit="4" topLeftCell="F44" activePane="bottomRight" state="frozenSplit"/>
      <selection pane="topRight" activeCell="S1" sqref="S1"/>
      <selection pane="bottomLeft" activeCell="A5" sqref="A5"/>
      <selection pane="bottomRight" activeCell="K45" sqref="K45"/>
    </sheetView>
  </sheetViews>
  <sheetFormatPr defaultColWidth="2.7109375" defaultRowHeight="20.100000000000001" customHeight="1"/>
  <cols>
    <col min="1" max="1" width="2.85546875" style="13" customWidth="1"/>
    <col min="2" max="2" width="15" style="32" customWidth="1"/>
    <col min="3" max="3" width="15" style="33" customWidth="1"/>
    <col min="4" max="4" width="9" style="34" customWidth="1"/>
    <col min="5" max="5" width="38.28515625" style="32" customWidth="1"/>
    <col min="6" max="6" width="7.5703125" style="32" bestFit="1" customWidth="1"/>
    <col min="7" max="7" width="6.42578125" style="35" bestFit="1" customWidth="1"/>
    <col min="8" max="8" width="7.5703125" style="32" bestFit="1" customWidth="1"/>
    <col min="9" max="9" width="7" style="35" bestFit="1" customWidth="1"/>
    <col min="10" max="10" width="6.42578125" style="35" bestFit="1" customWidth="1"/>
    <col min="11" max="11" width="7" style="35" bestFit="1" customWidth="1"/>
    <col min="12" max="13" width="7.42578125" style="35" customWidth="1"/>
    <col min="14" max="14" width="7.7109375" style="445" bestFit="1" customWidth="1"/>
    <col min="15" max="17" width="7.7109375" style="445" customWidth="1"/>
    <col min="18" max="18" width="6.7109375" style="35" customWidth="1"/>
    <col min="19" max="19" width="4.28515625" style="275" customWidth="1"/>
    <col min="20" max="20" width="9.7109375" style="32" customWidth="1"/>
    <col min="21" max="21" width="10.28515625" style="32" customWidth="1"/>
    <col min="22" max="44" width="5.7109375" style="32" customWidth="1"/>
    <col min="45" max="16384" width="2.7109375" style="32"/>
  </cols>
  <sheetData>
    <row r="1" spans="1:199" s="1" customFormat="1" ht="19.5" customHeight="1">
      <c r="B1" s="206" t="s">
        <v>205</v>
      </c>
      <c r="C1" s="206"/>
      <c r="D1" s="2"/>
      <c r="E1" s="3"/>
      <c r="F1" s="4"/>
      <c r="G1" s="121"/>
      <c r="H1" s="4"/>
      <c r="I1" s="5"/>
      <c r="J1" s="5"/>
      <c r="K1" s="5"/>
      <c r="L1" s="5"/>
      <c r="M1" s="268"/>
      <c r="N1" s="444"/>
      <c r="O1" s="444"/>
      <c r="P1" s="533">
        <v>43853.599675925929</v>
      </c>
      <c r="Q1" s="534"/>
      <c r="R1" s="534"/>
      <c r="S1" s="533"/>
      <c r="T1" s="534"/>
      <c r="U1" s="534"/>
      <c r="V1" s="94"/>
      <c r="W1" s="4"/>
      <c r="X1" s="4"/>
      <c r="Y1" s="6"/>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c r="CD1" s="4"/>
      <c r="CE1" s="4"/>
      <c r="CF1" s="4"/>
      <c r="CG1" s="4"/>
      <c r="CH1" s="4"/>
      <c r="CI1" s="4"/>
      <c r="CJ1" s="4"/>
      <c r="CK1" s="4"/>
      <c r="CL1" s="4"/>
      <c r="CM1" s="4"/>
      <c r="CN1" s="4"/>
      <c r="CO1" s="4"/>
      <c r="CP1" s="4"/>
      <c r="CQ1" s="4"/>
      <c r="CR1" s="4"/>
      <c r="CS1" s="4"/>
      <c r="CT1" s="4"/>
      <c r="CU1" s="4"/>
      <c r="CV1" s="4"/>
      <c r="CW1" s="4"/>
      <c r="CX1" s="4"/>
      <c r="CY1" s="4"/>
      <c r="CZ1" s="4"/>
      <c r="DA1" s="4"/>
      <c r="DB1" s="4"/>
      <c r="DC1" s="4"/>
      <c r="DD1" s="4"/>
      <c r="DE1" s="4"/>
      <c r="DF1" s="4"/>
      <c r="DG1" s="4"/>
      <c r="DH1" s="4"/>
      <c r="DI1" s="4"/>
      <c r="DJ1" s="4"/>
      <c r="DK1" s="4"/>
      <c r="DL1" s="4"/>
      <c r="DM1" s="4"/>
      <c r="DN1" s="4"/>
      <c r="DO1" s="4"/>
      <c r="DP1" s="4"/>
      <c r="DQ1" s="4"/>
      <c r="DR1" s="4"/>
      <c r="DS1" s="4"/>
      <c r="DT1" s="4"/>
      <c r="DU1" s="4"/>
      <c r="DV1" s="4"/>
      <c r="DW1" s="4"/>
      <c r="DX1" s="4"/>
      <c r="DY1" s="4"/>
      <c r="DZ1" s="4"/>
      <c r="EA1" s="4"/>
      <c r="EB1" s="4"/>
      <c r="EC1" s="4"/>
      <c r="ED1" s="4"/>
      <c r="EE1" s="4"/>
      <c r="EF1" s="4"/>
      <c r="EG1" s="4"/>
      <c r="EH1" s="4"/>
      <c r="EI1" s="4"/>
      <c r="EJ1" s="4"/>
      <c r="EK1" s="4"/>
      <c r="EL1" s="4"/>
      <c r="EM1" s="4"/>
      <c r="EN1" s="4"/>
      <c r="EO1" s="4"/>
      <c r="EP1" s="4"/>
      <c r="EQ1" s="4"/>
      <c r="ER1" s="4"/>
      <c r="ES1" s="4"/>
      <c r="ET1" s="4"/>
      <c r="EU1" s="4"/>
      <c r="EV1" s="4"/>
      <c r="EW1" s="4"/>
      <c r="EX1" s="4"/>
      <c r="EY1" s="4"/>
      <c r="EZ1" s="4"/>
      <c r="FA1" s="4"/>
      <c r="FB1" s="4"/>
      <c r="FC1" s="4"/>
      <c r="FD1" s="4"/>
      <c r="FE1" s="4"/>
      <c r="FF1" s="4"/>
      <c r="FG1" s="4"/>
      <c r="FH1" s="4"/>
      <c r="FI1" s="4"/>
      <c r="FJ1" s="4"/>
      <c r="FK1" s="4"/>
      <c r="FL1" s="4"/>
      <c r="FM1" s="4"/>
      <c r="FN1" s="4"/>
      <c r="FO1" s="4"/>
      <c r="FP1" s="4"/>
      <c r="FQ1" s="4"/>
      <c r="FR1" s="4"/>
      <c r="FS1" s="4"/>
      <c r="FT1" s="4"/>
      <c r="FU1" s="4"/>
      <c r="FV1" s="4"/>
      <c r="FW1" s="4"/>
      <c r="FX1" s="4"/>
      <c r="FY1" s="4"/>
      <c r="FZ1" s="4"/>
      <c r="GA1" s="4"/>
      <c r="GB1" s="4"/>
      <c r="GC1" s="4"/>
      <c r="GD1" s="4"/>
      <c r="GE1" s="4"/>
      <c r="GF1" s="4"/>
      <c r="GG1" s="4"/>
      <c r="GH1" s="4"/>
      <c r="GI1" s="4"/>
      <c r="GJ1" s="4"/>
      <c r="GK1" s="4"/>
      <c r="GL1" s="4"/>
      <c r="GM1" s="4"/>
      <c r="GN1" s="4"/>
      <c r="GO1" s="4"/>
      <c r="GP1" s="4"/>
      <c r="GQ1" s="4"/>
    </row>
    <row r="2" spans="1:199" customFormat="1" ht="27.75" customHeight="1">
      <c r="A2" s="7"/>
      <c r="B2" s="8"/>
      <c r="C2" s="9"/>
      <c r="D2" s="10"/>
      <c r="E2" s="11"/>
      <c r="F2" s="12"/>
      <c r="G2" s="11"/>
      <c r="H2" s="8"/>
      <c r="I2" s="11"/>
      <c r="J2" s="11"/>
      <c r="K2" s="11"/>
      <c r="L2" s="11"/>
      <c r="M2" s="11"/>
      <c r="N2" s="445"/>
      <c r="O2" s="445">
        <f>SUM(O6:O197)</f>
        <v>118.78333333333332</v>
      </c>
      <c r="P2" s="445">
        <f>SUM(P6:P197)</f>
        <v>118.78333333333332</v>
      </c>
      <c r="Q2" s="445">
        <f>SUM(Q6:Q197)</f>
        <v>118.78333333333332</v>
      </c>
      <c r="R2" s="531"/>
      <c r="S2" s="532"/>
      <c r="T2" s="532"/>
      <c r="U2" s="8"/>
    </row>
    <row r="3" spans="1:199" customFormat="1" ht="16.5" customHeight="1">
      <c r="A3" s="13"/>
      <c r="B3" s="378"/>
      <c r="C3" s="378"/>
      <c r="D3" s="378"/>
      <c r="E3" s="378"/>
      <c r="F3" s="399" t="s">
        <v>329</v>
      </c>
      <c r="G3" s="399"/>
      <c r="H3" s="399"/>
      <c r="I3" s="399" t="s">
        <v>330</v>
      </c>
      <c r="J3" s="399"/>
      <c r="K3" s="399"/>
      <c r="L3" s="399"/>
      <c r="M3" s="399"/>
      <c r="N3" s="378"/>
      <c r="O3" s="378"/>
      <c r="P3" s="378">
        <f>DATE(YEAR(P1),MONTH(P1),DAY(P1))</f>
        <v>43853</v>
      </c>
      <c r="Q3" s="378"/>
      <c r="R3" s="378"/>
      <c r="S3" s="378"/>
      <c r="T3" s="379"/>
      <c r="U3" s="378"/>
      <c r="V3" s="474">
        <v>43052</v>
      </c>
      <c r="W3" s="479"/>
      <c r="X3" s="479"/>
      <c r="Y3" s="474">
        <v>43073</v>
      </c>
      <c r="Z3" s="479"/>
      <c r="AA3" s="479"/>
      <c r="AB3" s="479"/>
      <c r="AC3" s="474">
        <v>43101</v>
      </c>
      <c r="AD3" s="479"/>
      <c r="AE3" s="479"/>
      <c r="AF3" s="479"/>
      <c r="AG3" s="479"/>
      <c r="AH3" s="474">
        <v>43136</v>
      </c>
      <c r="AI3" s="479"/>
      <c r="AJ3" s="479"/>
      <c r="AK3" s="479"/>
      <c r="AL3" s="474">
        <v>43164</v>
      </c>
      <c r="AM3" s="479"/>
      <c r="AN3" s="488"/>
    </row>
    <row r="4" spans="1:199" customFormat="1" ht="12">
      <c r="A4" s="13"/>
      <c r="B4" s="385" t="s">
        <v>331</v>
      </c>
      <c r="C4" s="385" t="s">
        <v>332</v>
      </c>
      <c r="D4" s="385" t="s">
        <v>333</v>
      </c>
      <c r="E4" s="385" t="s">
        <v>334</v>
      </c>
      <c r="F4" s="378" t="s">
        <v>335</v>
      </c>
      <c r="G4" s="378" t="s">
        <v>485</v>
      </c>
      <c r="H4" s="378" t="s">
        <v>336</v>
      </c>
      <c r="I4" s="378" t="s">
        <v>337</v>
      </c>
      <c r="J4" s="378" t="s">
        <v>486</v>
      </c>
      <c r="K4" s="378" t="s">
        <v>338</v>
      </c>
      <c r="L4" s="378" t="s">
        <v>339</v>
      </c>
      <c r="M4" s="377" t="s">
        <v>340</v>
      </c>
      <c r="N4" s="400" t="s">
        <v>341</v>
      </c>
      <c r="O4" s="385" t="s">
        <v>401</v>
      </c>
      <c r="P4" s="385" t="s">
        <v>399</v>
      </c>
      <c r="Q4" s="385" t="s">
        <v>400</v>
      </c>
      <c r="R4" s="385" t="s">
        <v>342</v>
      </c>
      <c r="S4" s="385"/>
      <c r="T4" s="386" t="s">
        <v>343</v>
      </c>
      <c r="U4" s="425" t="s">
        <v>344</v>
      </c>
      <c r="V4" s="470">
        <v>43052</v>
      </c>
      <c r="W4" s="475">
        <v>43059</v>
      </c>
      <c r="X4" s="484">
        <v>43066</v>
      </c>
      <c r="Y4" s="470">
        <v>43073</v>
      </c>
      <c r="Z4" s="475">
        <v>43080</v>
      </c>
      <c r="AA4" s="480">
        <v>43087</v>
      </c>
      <c r="AB4" s="484">
        <v>43094</v>
      </c>
      <c r="AC4" s="470">
        <v>43101</v>
      </c>
      <c r="AD4" s="475">
        <v>43108</v>
      </c>
      <c r="AE4" s="480">
        <v>43115</v>
      </c>
      <c r="AF4" s="480">
        <v>43122</v>
      </c>
      <c r="AG4" s="484">
        <v>43129</v>
      </c>
      <c r="AH4" s="470">
        <v>43136</v>
      </c>
      <c r="AI4" s="475">
        <v>43143</v>
      </c>
      <c r="AJ4" s="480">
        <v>43150</v>
      </c>
      <c r="AK4" s="484">
        <v>43157</v>
      </c>
      <c r="AL4" s="470">
        <v>43164</v>
      </c>
      <c r="AM4" s="475">
        <v>43171</v>
      </c>
      <c r="AN4" s="489">
        <v>43178</v>
      </c>
    </row>
    <row r="5" spans="1:199" customFormat="1" ht="20.100000000000001" customHeight="1">
      <c r="B5" s="402"/>
      <c r="C5" s="402"/>
      <c r="D5" s="405"/>
      <c r="E5" s="407" t="s">
        <v>345</v>
      </c>
      <c r="F5" s="408"/>
      <c r="G5" s="410"/>
      <c r="H5" s="408"/>
      <c r="I5" s="412"/>
      <c r="J5" s="410"/>
      <c r="K5" s="412"/>
      <c r="L5" s="414"/>
      <c r="M5" s="416"/>
      <c r="N5" s="418"/>
      <c r="O5" s="418"/>
      <c r="P5" s="418"/>
      <c r="Q5" s="418"/>
      <c r="R5" s="405"/>
      <c r="S5" s="401"/>
      <c r="T5" s="420"/>
      <c r="U5" s="281" t="s">
        <v>346</v>
      </c>
      <c r="V5" s="471"/>
      <c r="W5" s="476"/>
      <c r="X5" s="485"/>
      <c r="Y5" s="471"/>
      <c r="Z5" s="476"/>
      <c r="AA5" s="481"/>
      <c r="AB5" s="485"/>
      <c r="AC5" s="471"/>
      <c r="AD5" s="476"/>
      <c r="AE5" s="481"/>
      <c r="AF5" s="481"/>
      <c r="AG5" s="485"/>
      <c r="AH5" s="471"/>
      <c r="AI5" s="476"/>
      <c r="AJ5" s="481"/>
      <c r="AK5" s="485"/>
      <c r="AL5" s="471"/>
      <c r="AM5" s="476"/>
      <c r="AN5" s="490"/>
    </row>
    <row r="6" spans="1:199" customFormat="1" ht="20.100000000000001" customHeight="1">
      <c r="B6" s="403" t="s">
        <v>348</v>
      </c>
      <c r="C6" s="403"/>
      <c r="D6" s="406"/>
      <c r="E6" s="422" t="s">
        <v>348</v>
      </c>
      <c r="F6" s="409">
        <f>MIN(F7:F197)</f>
        <v>43059</v>
      </c>
      <c r="G6" s="411">
        <v>38</v>
      </c>
      <c r="H6" s="409">
        <f>MAX(H7:H197)</f>
        <v>43839</v>
      </c>
      <c r="I6" s="413"/>
      <c r="J6" s="411"/>
      <c r="K6" s="413"/>
      <c r="L6" s="415"/>
      <c r="M6" s="417"/>
      <c r="N6" s="419"/>
      <c r="O6" s="419">
        <f>G6*N6</f>
        <v>0</v>
      </c>
      <c r="P6" s="419">
        <f>G6*N6*IF($P$3&lt;F6,0,IF(H6&lt;$P$3,1,($P$3-F6+1)/(H6-F6+1)))</f>
        <v>0</v>
      </c>
      <c r="Q6" s="419">
        <f>G6*N6*M6</f>
        <v>0</v>
      </c>
      <c r="R6" s="406"/>
      <c r="S6" s="274" t="s">
        <v>131</v>
      </c>
      <c r="T6" s="421" t="s">
        <v>85</v>
      </c>
      <c r="U6" s="280" t="s">
        <v>487</v>
      </c>
      <c r="V6" s="472"/>
      <c r="W6" s="477"/>
      <c r="X6" s="486"/>
      <c r="Y6" s="472"/>
      <c r="Z6" s="477"/>
      <c r="AA6" s="482"/>
      <c r="AB6" s="486"/>
      <c r="AC6" s="472"/>
      <c r="AD6" s="477"/>
      <c r="AE6" s="482"/>
      <c r="AF6" s="482"/>
      <c r="AG6" s="486"/>
      <c r="AH6" s="472"/>
      <c r="AI6" s="477"/>
      <c r="AJ6" s="482"/>
      <c r="AK6" s="486"/>
      <c r="AL6" s="472"/>
      <c r="AM6" s="477"/>
      <c r="AN6" s="491"/>
    </row>
    <row r="7" spans="1:199" customFormat="1" ht="20.100000000000001" customHeight="1">
      <c r="B7" s="402"/>
      <c r="C7" s="404" t="s">
        <v>349</v>
      </c>
      <c r="D7" s="405"/>
      <c r="E7" s="407" t="s">
        <v>349</v>
      </c>
      <c r="F7" s="408">
        <v>43059</v>
      </c>
      <c r="G7" s="410">
        <v>2</v>
      </c>
      <c r="H7" s="408">
        <v>43060</v>
      </c>
      <c r="I7" s="412">
        <v>43059</v>
      </c>
      <c r="J7" s="410">
        <v>14</v>
      </c>
      <c r="K7" s="412">
        <v>43077</v>
      </c>
      <c r="L7" s="414"/>
      <c r="M7" s="416">
        <v>1</v>
      </c>
      <c r="N7" s="418">
        <v>5</v>
      </c>
      <c r="O7" s="418">
        <f>G7*N7</f>
        <v>10</v>
      </c>
      <c r="P7" s="418">
        <f t="shared" ref="P7:P164" si="0">G7*N7*IF($P$3&lt;F7,0,IF(H7&lt;$P$3,1,($P$3-F7+1)/(H7-F7+1)))</f>
        <v>10</v>
      </c>
      <c r="Q7" s="418">
        <f>G7*N7*M7</f>
        <v>10</v>
      </c>
      <c r="R7" s="405"/>
      <c r="S7" s="443"/>
      <c r="T7" s="420" t="s">
        <v>385</v>
      </c>
      <c r="U7" s="493" t="s">
        <v>488</v>
      </c>
      <c r="V7" s="473"/>
      <c r="W7" s="478"/>
      <c r="X7" s="487"/>
      <c r="Y7" s="473"/>
      <c r="Z7" s="478"/>
      <c r="AA7" s="483"/>
      <c r="AB7" s="487"/>
      <c r="AC7" s="473"/>
      <c r="AD7" s="478"/>
      <c r="AE7" s="483"/>
      <c r="AF7" s="483"/>
      <c r="AG7" s="487"/>
      <c r="AH7" s="473"/>
      <c r="AI7" s="478"/>
      <c r="AJ7" s="483"/>
      <c r="AK7" s="487"/>
      <c r="AL7" s="473"/>
      <c r="AM7" s="478"/>
      <c r="AN7" s="492"/>
    </row>
    <row r="8" spans="1:199" customFormat="1" ht="20.100000000000001" customHeight="1">
      <c r="B8" s="402"/>
      <c r="C8" s="404" t="s">
        <v>350</v>
      </c>
      <c r="D8" s="405" t="s">
        <v>355</v>
      </c>
      <c r="E8" s="407" t="str">
        <f>C8</f>
        <v>出荷調整画面</v>
      </c>
      <c r="F8" s="408">
        <f>MIN(F9:F31)</f>
        <v>43061</v>
      </c>
      <c r="G8" s="410">
        <v>16</v>
      </c>
      <c r="H8" s="408">
        <f>MAX(H9:H31)</f>
        <v>43083</v>
      </c>
      <c r="I8" s="412"/>
      <c r="J8" s="410"/>
      <c r="K8" s="412"/>
      <c r="L8" s="414"/>
      <c r="M8" s="416"/>
      <c r="N8" s="418"/>
      <c r="O8" s="418">
        <f t="shared" ref="O8:O31" si="1">G8*N8</f>
        <v>0</v>
      </c>
      <c r="P8" s="418">
        <f t="shared" si="0"/>
        <v>0</v>
      </c>
      <c r="Q8" s="418">
        <f t="shared" ref="Q8:Q31" si="2">G8*N8*M8</f>
        <v>0</v>
      </c>
      <c r="R8" s="405"/>
      <c r="S8" s="401" t="s">
        <v>386</v>
      </c>
      <c r="T8" s="420" t="s">
        <v>85</v>
      </c>
      <c r="U8" s="281" t="s">
        <v>487</v>
      </c>
      <c r="V8" s="473"/>
      <c r="W8" s="478"/>
      <c r="X8" s="487"/>
      <c r="Y8" s="473"/>
      <c r="Z8" s="478"/>
      <c r="AA8" s="483"/>
      <c r="AB8" s="487"/>
      <c r="AC8" s="473"/>
      <c r="AD8" s="478"/>
      <c r="AE8" s="483"/>
      <c r="AF8" s="483"/>
      <c r="AG8" s="487"/>
      <c r="AH8" s="473"/>
      <c r="AI8" s="478"/>
      <c r="AJ8" s="483"/>
      <c r="AK8" s="487"/>
      <c r="AL8" s="473"/>
      <c r="AM8" s="478"/>
      <c r="AN8" s="492"/>
    </row>
    <row r="9" spans="1:199" customFormat="1" ht="20.100000000000001" customHeight="1">
      <c r="B9" s="402"/>
      <c r="C9" s="402"/>
      <c r="D9" s="405" t="str">
        <f>D8&amp;"-01"</f>
        <v>D0501-01</v>
      </c>
      <c r="E9" s="407" t="s">
        <v>427</v>
      </c>
      <c r="F9" s="408">
        <v>43061</v>
      </c>
      <c r="G9" s="410">
        <v>2</v>
      </c>
      <c r="H9" s="408">
        <v>43063</v>
      </c>
      <c r="I9" s="412">
        <v>43063</v>
      </c>
      <c r="J9" s="410">
        <v>6</v>
      </c>
      <c r="K9" s="412">
        <v>43070</v>
      </c>
      <c r="L9" s="414"/>
      <c r="M9" s="416">
        <v>1</v>
      </c>
      <c r="N9" s="418">
        <v>1</v>
      </c>
      <c r="O9" s="418">
        <f t="shared" si="1"/>
        <v>2</v>
      </c>
      <c r="P9" s="418">
        <f t="shared" si="0"/>
        <v>2</v>
      </c>
      <c r="Q9" s="418">
        <f t="shared" si="2"/>
        <v>2</v>
      </c>
      <c r="R9" s="405"/>
      <c r="S9" s="426"/>
      <c r="T9" s="420" t="s">
        <v>382</v>
      </c>
      <c r="U9" s="493" t="s">
        <v>489</v>
      </c>
      <c r="V9" s="473"/>
      <c r="W9" s="478"/>
      <c r="X9" s="487"/>
      <c r="Y9" s="473"/>
      <c r="Z9" s="478"/>
      <c r="AA9" s="483"/>
      <c r="AB9" s="487"/>
      <c r="AC9" s="473"/>
      <c r="AD9" s="478"/>
      <c r="AE9" s="483"/>
      <c r="AF9" s="483"/>
      <c r="AG9" s="487"/>
      <c r="AH9" s="473"/>
      <c r="AI9" s="478"/>
      <c r="AJ9" s="483"/>
      <c r="AK9" s="487"/>
      <c r="AL9" s="473"/>
      <c r="AM9" s="478"/>
      <c r="AN9" s="492"/>
    </row>
    <row r="10" spans="1:199" customFormat="1" ht="20.100000000000001" customHeight="1">
      <c r="B10" s="402"/>
      <c r="C10" s="402"/>
      <c r="D10" s="405" t="str">
        <f>D8&amp;"-02"</f>
        <v>D0501-02</v>
      </c>
      <c r="E10" s="407" t="s">
        <v>347</v>
      </c>
      <c r="F10" s="408">
        <f>H9+1</f>
        <v>43064</v>
      </c>
      <c r="G10" s="410">
        <v>8</v>
      </c>
      <c r="H10" s="408">
        <v>43075</v>
      </c>
      <c r="I10" s="412">
        <v>43066</v>
      </c>
      <c r="J10" s="410">
        <v>14</v>
      </c>
      <c r="K10" s="412">
        <v>43083</v>
      </c>
      <c r="L10" s="414"/>
      <c r="M10" s="416">
        <v>1</v>
      </c>
      <c r="N10" s="418">
        <v>1</v>
      </c>
      <c r="O10" s="418">
        <f t="shared" si="1"/>
        <v>8</v>
      </c>
      <c r="P10" s="418">
        <f t="shared" si="0"/>
        <v>8</v>
      </c>
      <c r="Q10" s="418">
        <f t="shared" si="2"/>
        <v>8</v>
      </c>
      <c r="R10" s="405"/>
      <c r="S10" s="426"/>
      <c r="T10" s="420" t="s">
        <v>382</v>
      </c>
      <c r="U10" s="493" t="s">
        <v>489</v>
      </c>
      <c r="V10" s="473"/>
      <c r="W10" s="478"/>
      <c r="X10" s="487"/>
      <c r="Y10" s="473"/>
      <c r="Z10" s="478"/>
      <c r="AA10" s="483"/>
      <c r="AB10" s="487"/>
      <c r="AC10" s="473"/>
      <c r="AD10" s="478"/>
      <c r="AE10" s="483"/>
      <c r="AF10" s="483"/>
      <c r="AG10" s="487"/>
      <c r="AH10" s="473"/>
      <c r="AI10" s="478"/>
      <c r="AJ10" s="483"/>
      <c r="AK10" s="487"/>
      <c r="AL10" s="473"/>
      <c r="AM10" s="478"/>
      <c r="AN10" s="492"/>
    </row>
    <row r="11" spans="1:199" s="494" customFormat="1" ht="20.100000000000001" customHeight="1">
      <c r="B11" s="402"/>
      <c r="C11" s="402"/>
      <c r="D11" s="405"/>
      <c r="E11" s="407" t="s">
        <v>439</v>
      </c>
      <c r="F11" s="408"/>
      <c r="G11" s="410"/>
      <c r="H11" s="408"/>
      <c r="I11" s="412"/>
      <c r="J11" s="410"/>
      <c r="K11" s="412"/>
      <c r="L11" s="414"/>
      <c r="M11" s="416"/>
      <c r="N11" s="418"/>
      <c r="O11" s="495"/>
      <c r="P11" s="495"/>
      <c r="Q11" s="495"/>
      <c r="R11" s="405"/>
      <c r="S11" s="426"/>
      <c r="T11" s="420" t="s">
        <v>382</v>
      </c>
      <c r="U11" s="281" t="s">
        <v>490</v>
      </c>
      <c r="V11" s="473"/>
      <c r="W11" s="478"/>
      <c r="X11" s="487"/>
      <c r="Y11" s="473"/>
      <c r="Z11" s="478"/>
      <c r="AA11" s="483"/>
      <c r="AB11" s="487"/>
      <c r="AC11" s="473"/>
      <c r="AD11" s="478"/>
      <c r="AE11" s="483"/>
      <c r="AF11" s="483"/>
      <c r="AG11" s="487"/>
      <c r="AH11" s="473"/>
      <c r="AI11" s="478"/>
      <c r="AJ11" s="483"/>
      <c r="AK11" s="487"/>
      <c r="AL11" s="473"/>
      <c r="AM11" s="478"/>
      <c r="AN11" s="492"/>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row>
    <row r="12" spans="1:199" s="494" customFormat="1" ht="20.100000000000001" customHeight="1">
      <c r="B12" s="402"/>
      <c r="C12" s="402"/>
      <c r="D12" s="405"/>
      <c r="E12" s="407" t="s">
        <v>440</v>
      </c>
      <c r="F12" s="408"/>
      <c r="G12" s="410"/>
      <c r="H12" s="408"/>
      <c r="I12" s="412"/>
      <c r="J12" s="410"/>
      <c r="K12" s="412"/>
      <c r="L12" s="414"/>
      <c r="M12" s="416"/>
      <c r="N12" s="418"/>
      <c r="O12" s="495"/>
      <c r="P12" s="495"/>
      <c r="Q12" s="495"/>
      <c r="R12" s="405"/>
      <c r="S12" s="426"/>
      <c r="T12" s="420" t="s">
        <v>382</v>
      </c>
      <c r="U12" s="281" t="s">
        <v>96</v>
      </c>
      <c r="V12" s="473"/>
      <c r="W12" s="478"/>
      <c r="X12" s="487"/>
      <c r="Y12" s="473"/>
      <c r="Z12" s="478"/>
      <c r="AA12" s="483"/>
      <c r="AB12" s="487"/>
      <c r="AC12" s="473"/>
      <c r="AD12" s="478"/>
      <c r="AE12" s="483"/>
      <c r="AF12" s="483"/>
      <c r="AG12" s="487"/>
      <c r="AH12" s="473"/>
      <c r="AI12" s="478"/>
      <c r="AJ12" s="483"/>
      <c r="AK12" s="487"/>
      <c r="AL12" s="473"/>
      <c r="AM12" s="478"/>
      <c r="AN12" s="49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row>
    <row r="13" spans="1:199" s="494" customFormat="1" ht="20.100000000000001" customHeight="1">
      <c r="B13" s="402"/>
      <c r="C13" s="402"/>
      <c r="D13" s="405" t="s">
        <v>441</v>
      </c>
      <c r="E13" s="407" t="s">
        <v>444</v>
      </c>
      <c r="F13" s="408"/>
      <c r="G13" s="410"/>
      <c r="H13" s="408"/>
      <c r="I13" s="412"/>
      <c r="J13" s="410"/>
      <c r="K13" s="412"/>
      <c r="L13" s="414"/>
      <c r="M13" s="416"/>
      <c r="N13" s="418"/>
      <c r="O13" s="495"/>
      <c r="P13" s="495"/>
      <c r="Q13" s="495"/>
      <c r="R13" s="405"/>
      <c r="S13" s="426"/>
      <c r="T13" s="420" t="s">
        <v>382</v>
      </c>
      <c r="U13" s="281" t="s">
        <v>487</v>
      </c>
      <c r="V13" s="473"/>
      <c r="W13" s="478"/>
      <c r="X13" s="487"/>
      <c r="Y13" s="473"/>
      <c r="Z13" s="478"/>
      <c r="AA13" s="483"/>
      <c r="AB13" s="487"/>
      <c r="AC13" s="473"/>
      <c r="AD13" s="478"/>
      <c r="AE13" s="483"/>
      <c r="AF13" s="483"/>
      <c r="AG13" s="487"/>
      <c r="AH13" s="473"/>
      <c r="AI13" s="478"/>
      <c r="AJ13" s="483"/>
      <c r="AK13" s="487"/>
      <c r="AL13" s="473"/>
      <c r="AM13" s="478"/>
      <c r="AN13" s="492"/>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row>
    <row r="14" spans="1:199" s="494" customFormat="1" ht="20.100000000000001" customHeight="1">
      <c r="B14" s="402"/>
      <c r="C14" s="402"/>
      <c r="D14" s="405"/>
      <c r="E14" s="407" t="s">
        <v>445</v>
      </c>
      <c r="F14" s="408"/>
      <c r="G14" s="410"/>
      <c r="H14" s="408"/>
      <c r="I14" s="412"/>
      <c r="J14" s="410"/>
      <c r="K14" s="412"/>
      <c r="L14" s="414"/>
      <c r="M14" s="416"/>
      <c r="N14" s="418"/>
      <c r="O14" s="495"/>
      <c r="P14" s="495"/>
      <c r="Q14" s="495"/>
      <c r="R14" s="405"/>
      <c r="S14" s="426"/>
      <c r="T14" s="420" t="s">
        <v>382</v>
      </c>
      <c r="U14" s="281" t="s">
        <v>490</v>
      </c>
      <c r="V14" s="473"/>
      <c r="W14" s="478"/>
      <c r="X14" s="487"/>
      <c r="Y14" s="473"/>
      <c r="Z14" s="478"/>
      <c r="AA14" s="483"/>
      <c r="AB14" s="487"/>
      <c r="AC14" s="473"/>
      <c r="AD14" s="478"/>
      <c r="AE14" s="483"/>
      <c r="AF14" s="483"/>
      <c r="AG14" s="487"/>
      <c r="AH14" s="473"/>
      <c r="AI14" s="478"/>
      <c r="AJ14" s="483"/>
      <c r="AK14" s="487"/>
      <c r="AL14" s="473"/>
      <c r="AM14" s="478"/>
      <c r="AN14" s="492"/>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row>
    <row r="15" spans="1:199" s="494" customFormat="1" ht="20.100000000000001" customHeight="1">
      <c r="B15" s="402"/>
      <c r="C15" s="402"/>
      <c r="D15" s="405"/>
      <c r="E15" s="407" t="s">
        <v>446</v>
      </c>
      <c r="F15" s="408"/>
      <c r="G15" s="410"/>
      <c r="H15" s="408"/>
      <c r="I15" s="412"/>
      <c r="J15" s="410"/>
      <c r="K15" s="412"/>
      <c r="L15" s="414"/>
      <c r="M15" s="416"/>
      <c r="N15" s="418"/>
      <c r="O15" s="495"/>
      <c r="P15" s="495"/>
      <c r="Q15" s="495"/>
      <c r="R15" s="405"/>
      <c r="S15" s="426"/>
      <c r="T15" s="420" t="s">
        <v>382</v>
      </c>
      <c r="U15" s="281" t="s">
        <v>96</v>
      </c>
      <c r="V15" s="473"/>
      <c r="W15" s="478"/>
      <c r="X15" s="487"/>
      <c r="Y15" s="473"/>
      <c r="Z15" s="478"/>
      <c r="AA15" s="483"/>
      <c r="AB15" s="487"/>
      <c r="AC15" s="473"/>
      <c r="AD15" s="478"/>
      <c r="AE15" s="483"/>
      <c r="AF15" s="483"/>
      <c r="AG15" s="487"/>
      <c r="AH15" s="473"/>
      <c r="AI15" s="478"/>
      <c r="AJ15" s="483"/>
      <c r="AK15" s="487"/>
      <c r="AL15" s="473"/>
      <c r="AM15" s="478"/>
      <c r="AN15" s="492"/>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row>
    <row r="16" spans="1:199" s="494" customFormat="1" ht="20.100000000000001" customHeight="1">
      <c r="B16" s="402"/>
      <c r="C16" s="402"/>
      <c r="D16" s="405"/>
      <c r="E16" s="407" t="s">
        <v>447</v>
      </c>
      <c r="F16" s="408"/>
      <c r="G16" s="410"/>
      <c r="H16" s="408"/>
      <c r="I16" s="412"/>
      <c r="J16" s="410"/>
      <c r="K16" s="412"/>
      <c r="L16" s="414"/>
      <c r="M16" s="416"/>
      <c r="N16" s="418"/>
      <c r="O16" s="495"/>
      <c r="P16" s="495"/>
      <c r="Q16" s="495"/>
      <c r="R16" s="405"/>
      <c r="S16" s="426"/>
      <c r="T16" s="420" t="s">
        <v>382</v>
      </c>
      <c r="U16" s="281" t="s">
        <v>96</v>
      </c>
      <c r="V16" s="473"/>
      <c r="W16" s="478"/>
      <c r="X16" s="487"/>
      <c r="Y16" s="473"/>
      <c r="Z16" s="478"/>
      <c r="AA16" s="483"/>
      <c r="AB16" s="487"/>
      <c r="AC16" s="473"/>
      <c r="AD16" s="478"/>
      <c r="AE16" s="483"/>
      <c r="AF16" s="483"/>
      <c r="AG16" s="487"/>
      <c r="AH16" s="473"/>
      <c r="AI16" s="478"/>
      <c r="AJ16" s="483"/>
      <c r="AK16" s="487"/>
      <c r="AL16" s="473"/>
      <c r="AM16" s="478"/>
      <c r="AN16" s="492"/>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row>
    <row r="17" spans="2:199" s="494" customFormat="1" ht="20.100000000000001" customHeight="1">
      <c r="B17" s="402"/>
      <c r="C17" s="402"/>
      <c r="D17" s="405"/>
      <c r="E17" s="407" t="s">
        <v>448</v>
      </c>
      <c r="F17" s="408"/>
      <c r="G17" s="410"/>
      <c r="H17" s="408"/>
      <c r="I17" s="412"/>
      <c r="J17" s="410"/>
      <c r="K17" s="412"/>
      <c r="L17" s="414"/>
      <c r="M17" s="416"/>
      <c r="N17" s="418"/>
      <c r="O17" s="495"/>
      <c r="P17" s="495"/>
      <c r="Q17" s="495"/>
      <c r="R17" s="405"/>
      <c r="S17" s="426"/>
      <c r="T17" s="420" t="s">
        <v>382</v>
      </c>
      <c r="U17" s="281" t="s">
        <v>490</v>
      </c>
      <c r="V17" s="473"/>
      <c r="W17" s="478"/>
      <c r="X17" s="487"/>
      <c r="Y17" s="473"/>
      <c r="Z17" s="478"/>
      <c r="AA17" s="483"/>
      <c r="AB17" s="487"/>
      <c r="AC17" s="473"/>
      <c r="AD17" s="478"/>
      <c r="AE17" s="483"/>
      <c r="AF17" s="483"/>
      <c r="AG17" s="487"/>
      <c r="AH17" s="473"/>
      <c r="AI17" s="478"/>
      <c r="AJ17" s="483"/>
      <c r="AK17" s="487"/>
      <c r="AL17" s="473"/>
      <c r="AM17" s="478"/>
      <c r="AN17" s="492"/>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row>
    <row r="18" spans="2:199" s="494" customFormat="1" ht="20.100000000000001" customHeight="1">
      <c r="B18" s="402"/>
      <c r="C18" s="402"/>
      <c r="D18" s="405"/>
      <c r="E18" s="407" t="s">
        <v>449</v>
      </c>
      <c r="F18" s="408"/>
      <c r="G18" s="410"/>
      <c r="H18" s="408"/>
      <c r="I18" s="412"/>
      <c r="J18" s="410"/>
      <c r="K18" s="412"/>
      <c r="L18" s="414"/>
      <c r="M18" s="416"/>
      <c r="N18" s="418"/>
      <c r="O18" s="495"/>
      <c r="P18" s="495"/>
      <c r="Q18" s="495"/>
      <c r="R18" s="405"/>
      <c r="S18" s="426"/>
      <c r="T18" s="420" t="s">
        <v>382</v>
      </c>
      <c r="U18" s="281" t="s">
        <v>96</v>
      </c>
      <c r="V18" s="473"/>
      <c r="W18" s="478"/>
      <c r="X18" s="487"/>
      <c r="Y18" s="473"/>
      <c r="Z18" s="478"/>
      <c r="AA18" s="483"/>
      <c r="AB18" s="487"/>
      <c r="AC18" s="473"/>
      <c r="AD18" s="478"/>
      <c r="AE18" s="483"/>
      <c r="AF18" s="483"/>
      <c r="AG18" s="487"/>
      <c r="AH18" s="473"/>
      <c r="AI18" s="478"/>
      <c r="AJ18" s="483"/>
      <c r="AK18" s="487"/>
      <c r="AL18" s="473"/>
      <c r="AM18" s="478"/>
      <c r="AN18" s="492"/>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row>
    <row r="19" spans="2:199" s="494" customFormat="1" ht="20.100000000000001" customHeight="1">
      <c r="B19" s="402"/>
      <c r="C19" s="402"/>
      <c r="D19" s="405"/>
      <c r="E19" s="407" t="s">
        <v>450</v>
      </c>
      <c r="F19" s="408"/>
      <c r="G19" s="410"/>
      <c r="H19" s="408"/>
      <c r="I19" s="412"/>
      <c r="J19" s="410"/>
      <c r="K19" s="412"/>
      <c r="L19" s="414"/>
      <c r="M19" s="416"/>
      <c r="N19" s="418"/>
      <c r="O19" s="495"/>
      <c r="P19" s="495"/>
      <c r="Q19" s="495"/>
      <c r="R19" s="405"/>
      <c r="S19" s="426"/>
      <c r="T19" s="420" t="s">
        <v>382</v>
      </c>
      <c r="U19" s="281" t="s">
        <v>96</v>
      </c>
      <c r="V19" s="473"/>
      <c r="W19" s="478"/>
      <c r="X19" s="487"/>
      <c r="Y19" s="473"/>
      <c r="Z19" s="478"/>
      <c r="AA19" s="483"/>
      <c r="AB19" s="487"/>
      <c r="AC19" s="473"/>
      <c r="AD19" s="478"/>
      <c r="AE19" s="483"/>
      <c r="AF19" s="483"/>
      <c r="AG19" s="487"/>
      <c r="AH19" s="473"/>
      <c r="AI19" s="478"/>
      <c r="AJ19" s="483"/>
      <c r="AK19" s="487"/>
      <c r="AL19" s="473"/>
      <c r="AM19" s="478"/>
      <c r="AN19" s="492"/>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row>
    <row r="20" spans="2:199" s="494" customFormat="1" ht="20.100000000000001" customHeight="1">
      <c r="B20" s="402"/>
      <c r="C20" s="402"/>
      <c r="D20" s="405"/>
      <c r="E20" s="407" t="s">
        <v>451</v>
      </c>
      <c r="F20" s="408"/>
      <c r="G20" s="410"/>
      <c r="H20" s="408"/>
      <c r="I20" s="412"/>
      <c r="J20" s="410"/>
      <c r="K20" s="412"/>
      <c r="L20" s="414"/>
      <c r="M20" s="416"/>
      <c r="N20" s="418"/>
      <c r="O20" s="495"/>
      <c r="P20" s="495"/>
      <c r="Q20" s="495"/>
      <c r="R20" s="405"/>
      <c r="S20" s="426"/>
      <c r="T20" s="420" t="s">
        <v>382</v>
      </c>
      <c r="U20" s="281" t="s">
        <v>490</v>
      </c>
      <c r="V20" s="473"/>
      <c r="W20" s="478"/>
      <c r="X20" s="487"/>
      <c r="Y20" s="473"/>
      <c r="Z20" s="478"/>
      <c r="AA20" s="483"/>
      <c r="AB20" s="487"/>
      <c r="AC20" s="473"/>
      <c r="AD20" s="478"/>
      <c r="AE20" s="483"/>
      <c r="AF20" s="483"/>
      <c r="AG20" s="487"/>
      <c r="AH20" s="473"/>
      <c r="AI20" s="478"/>
      <c r="AJ20" s="483"/>
      <c r="AK20" s="487"/>
      <c r="AL20" s="473"/>
      <c r="AM20" s="478"/>
      <c r="AN20" s="492"/>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row>
    <row r="21" spans="2:199" s="494" customFormat="1" ht="20.100000000000001" customHeight="1">
      <c r="B21" s="402"/>
      <c r="C21" s="402"/>
      <c r="D21" s="405"/>
      <c r="E21" s="407" t="s">
        <v>452</v>
      </c>
      <c r="F21" s="408"/>
      <c r="G21" s="410"/>
      <c r="H21" s="408"/>
      <c r="I21" s="412"/>
      <c r="J21" s="410"/>
      <c r="K21" s="412"/>
      <c r="L21" s="414"/>
      <c r="M21" s="416"/>
      <c r="N21" s="418"/>
      <c r="O21" s="495"/>
      <c r="P21" s="495"/>
      <c r="Q21" s="495"/>
      <c r="R21" s="405"/>
      <c r="S21" s="426"/>
      <c r="T21" s="420" t="s">
        <v>382</v>
      </c>
      <c r="U21" s="281" t="s">
        <v>96</v>
      </c>
      <c r="V21" s="473"/>
      <c r="W21" s="478"/>
      <c r="X21" s="487"/>
      <c r="Y21" s="473"/>
      <c r="Z21" s="478"/>
      <c r="AA21" s="483"/>
      <c r="AB21" s="487"/>
      <c r="AC21" s="473"/>
      <c r="AD21" s="478"/>
      <c r="AE21" s="483"/>
      <c r="AF21" s="483"/>
      <c r="AG21" s="487"/>
      <c r="AH21" s="473"/>
      <c r="AI21" s="478"/>
      <c r="AJ21" s="483"/>
      <c r="AK21" s="487"/>
      <c r="AL21" s="473"/>
      <c r="AM21" s="478"/>
      <c r="AN21" s="492"/>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row>
    <row r="22" spans="2:199" s="494" customFormat="1" ht="20.100000000000001" customHeight="1">
      <c r="B22" s="402"/>
      <c r="C22" s="402"/>
      <c r="D22" s="405"/>
      <c r="E22" s="407" t="s">
        <v>432</v>
      </c>
      <c r="F22" s="408"/>
      <c r="G22" s="410"/>
      <c r="H22" s="408"/>
      <c r="I22" s="412"/>
      <c r="J22" s="410"/>
      <c r="K22" s="412"/>
      <c r="L22" s="414"/>
      <c r="M22" s="416"/>
      <c r="N22" s="418"/>
      <c r="O22" s="495"/>
      <c r="P22" s="495"/>
      <c r="Q22" s="495"/>
      <c r="R22" s="405"/>
      <c r="S22" s="426"/>
      <c r="T22" s="420" t="s">
        <v>382</v>
      </c>
      <c r="U22" s="281" t="s">
        <v>96</v>
      </c>
      <c r="V22" s="473"/>
      <c r="W22" s="478"/>
      <c r="X22" s="487"/>
      <c r="Y22" s="473"/>
      <c r="Z22" s="478"/>
      <c r="AA22" s="483"/>
      <c r="AB22" s="487"/>
      <c r="AC22" s="473"/>
      <c r="AD22" s="478"/>
      <c r="AE22" s="483"/>
      <c r="AF22" s="483"/>
      <c r="AG22" s="487"/>
      <c r="AH22" s="473"/>
      <c r="AI22" s="478"/>
      <c r="AJ22" s="483"/>
      <c r="AK22" s="487"/>
      <c r="AL22" s="473"/>
      <c r="AM22" s="478"/>
      <c r="AN22" s="49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row>
    <row r="23" spans="2:199" s="494" customFormat="1" ht="20.100000000000001" customHeight="1">
      <c r="B23" s="402"/>
      <c r="C23" s="402"/>
      <c r="D23" s="405"/>
      <c r="E23" s="407" t="s">
        <v>453</v>
      </c>
      <c r="F23" s="408"/>
      <c r="G23" s="410"/>
      <c r="H23" s="408"/>
      <c r="I23" s="412"/>
      <c r="J23" s="410"/>
      <c r="K23" s="412"/>
      <c r="L23" s="414"/>
      <c r="M23" s="416"/>
      <c r="N23" s="418"/>
      <c r="O23" s="495"/>
      <c r="P23" s="495"/>
      <c r="Q23" s="495"/>
      <c r="R23" s="405"/>
      <c r="S23" s="426"/>
      <c r="T23" s="420" t="s">
        <v>382</v>
      </c>
      <c r="U23" s="281" t="s">
        <v>490</v>
      </c>
      <c r="V23" s="473"/>
      <c r="W23" s="478"/>
      <c r="X23" s="487"/>
      <c r="Y23" s="473"/>
      <c r="Z23" s="478"/>
      <c r="AA23" s="483"/>
      <c r="AB23" s="487"/>
      <c r="AC23" s="473"/>
      <c r="AD23" s="478"/>
      <c r="AE23" s="483"/>
      <c r="AF23" s="483"/>
      <c r="AG23" s="487"/>
      <c r="AH23" s="473"/>
      <c r="AI23" s="478"/>
      <c r="AJ23" s="483"/>
      <c r="AK23" s="487"/>
      <c r="AL23" s="473"/>
      <c r="AM23" s="478"/>
      <c r="AN23" s="492"/>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row>
    <row r="24" spans="2:199" s="494" customFormat="1" ht="20.100000000000001" customHeight="1">
      <c r="B24" s="402"/>
      <c r="C24" s="402"/>
      <c r="D24" s="405"/>
      <c r="E24" s="407" t="s">
        <v>454</v>
      </c>
      <c r="F24" s="408"/>
      <c r="G24" s="410"/>
      <c r="H24" s="408"/>
      <c r="I24" s="412"/>
      <c r="J24" s="410"/>
      <c r="K24" s="412"/>
      <c r="L24" s="414"/>
      <c r="M24" s="416"/>
      <c r="N24" s="418"/>
      <c r="O24" s="495"/>
      <c r="P24" s="495"/>
      <c r="Q24" s="495"/>
      <c r="R24" s="405"/>
      <c r="S24" s="426"/>
      <c r="T24" s="420" t="s">
        <v>382</v>
      </c>
      <c r="U24" s="281" t="s">
        <v>96</v>
      </c>
      <c r="V24" s="473"/>
      <c r="W24" s="478"/>
      <c r="X24" s="487"/>
      <c r="Y24" s="473"/>
      <c r="Z24" s="478"/>
      <c r="AA24" s="483"/>
      <c r="AB24" s="487"/>
      <c r="AC24" s="473"/>
      <c r="AD24" s="478"/>
      <c r="AE24" s="483"/>
      <c r="AF24" s="483"/>
      <c r="AG24" s="487"/>
      <c r="AH24" s="473"/>
      <c r="AI24" s="478"/>
      <c r="AJ24" s="483"/>
      <c r="AK24" s="487"/>
      <c r="AL24" s="473"/>
      <c r="AM24" s="478"/>
      <c r="AN24" s="492"/>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row>
    <row r="25" spans="2:199" s="494" customFormat="1" ht="20.100000000000001" customHeight="1">
      <c r="B25" s="402"/>
      <c r="C25" s="402"/>
      <c r="D25" s="405"/>
      <c r="E25" s="407" t="s">
        <v>455</v>
      </c>
      <c r="F25" s="408"/>
      <c r="G25" s="410"/>
      <c r="H25" s="408"/>
      <c r="I25" s="412"/>
      <c r="J25" s="410"/>
      <c r="K25" s="412"/>
      <c r="L25" s="414"/>
      <c r="M25" s="416"/>
      <c r="N25" s="418"/>
      <c r="O25" s="495"/>
      <c r="P25" s="495"/>
      <c r="Q25" s="495"/>
      <c r="R25" s="405"/>
      <c r="S25" s="426"/>
      <c r="T25" s="420" t="s">
        <v>382</v>
      </c>
      <c r="U25" s="281" t="s">
        <v>96</v>
      </c>
      <c r="V25" s="473"/>
      <c r="W25" s="478"/>
      <c r="X25" s="487"/>
      <c r="Y25" s="473"/>
      <c r="Z25" s="478"/>
      <c r="AA25" s="483"/>
      <c r="AB25" s="487"/>
      <c r="AC25" s="473"/>
      <c r="AD25" s="478"/>
      <c r="AE25" s="483"/>
      <c r="AF25" s="483"/>
      <c r="AG25" s="487"/>
      <c r="AH25" s="473"/>
      <c r="AI25" s="478"/>
      <c r="AJ25" s="483"/>
      <c r="AK25" s="487"/>
      <c r="AL25" s="473"/>
      <c r="AM25" s="478"/>
      <c r="AN25" s="492"/>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row>
    <row r="26" spans="2:199" s="494" customFormat="1" ht="20.100000000000001" customHeight="1">
      <c r="B26" s="402"/>
      <c r="C26" s="402"/>
      <c r="D26" s="405"/>
      <c r="E26" s="407" t="s">
        <v>456</v>
      </c>
      <c r="F26" s="408"/>
      <c r="G26" s="410"/>
      <c r="H26" s="408"/>
      <c r="I26" s="412"/>
      <c r="J26" s="410"/>
      <c r="K26" s="412"/>
      <c r="L26" s="414"/>
      <c r="M26" s="416"/>
      <c r="N26" s="418"/>
      <c r="O26" s="495"/>
      <c r="P26" s="495"/>
      <c r="Q26" s="495"/>
      <c r="R26" s="405"/>
      <c r="S26" s="426"/>
      <c r="T26" s="420" t="s">
        <v>382</v>
      </c>
      <c r="U26" s="281" t="s">
        <v>490</v>
      </c>
      <c r="V26" s="473"/>
      <c r="W26" s="478"/>
      <c r="X26" s="487"/>
      <c r="Y26" s="473"/>
      <c r="Z26" s="478"/>
      <c r="AA26" s="483"/>
      <c r="AB26" s="487"/>
      <c r="AC26" s="473"/>
      <c r="AD26" s="478"/>
      <c r="AE26" s="483"/>
      <c r="AF26" s="483"/>
      <c r="AG26" s="487"/>
      <c r="AH26" s="473"/>
      <c r="AI26" s="478"/>
      <c r="AJ26" s="483"/>
      <c r="AK26" s="487"/>
      <c r="AL26" s="473"/>
      <c r="AM26" s="478"/>
      <c r="AN26" s="492"/>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row>
    <row r="27" spans="2:199" s="494" customFormat="1" ht="20.100000000000001" customHeight="1">
      <c r="B27" s="402"/>
      <c r="C27" s="402"/>
      <c r="D27" s="405"/>
      <c r="E27" s="407" t="s">
        <v>457</v>
      </c>
      <c r="F27" s="408"/>
      <c r="G27" s="410"/>
      <c r="H27" s="408"/>
      <c r="I27" s="412"/>
      <c r="J27" s="410"/>
      <c r="K27" s="412"/>
      <c r="L27" s="414"/>
      <c r="M27" s="416"/>
      <c r="N27" s="418"/>
      <c r="O27" s="495"/>
      <c r="P27" s="495"/>
      <c r="Q27" s="495"/>
      <c r="R27" s="405"/>
      <c r="S27" s="426"/>
      <c r="T27" s="420" t="s">
        <v>382</v>
      </c>
      <c r="U27" s="281" t="s">
        <v>96</v>
      </c>
      <c r="V27" s="473"/>
      <c r="W27" s="478"/>
      <c r="X27" s="487"/>
      <c r="Y27" s="473"/>
      <c r="Z27" s="478"/>
      <c r="AA27" s="483"/>
      <c r="AB27" s="487"/>
      <c r="AC27" s="473"/>
      <c r="AD27" s="478"/>
      <c r="AE27" s="483"/>
      <c r="AF27" s="483"/>
      <c r="AG27" s="487"/>
      <c r="AH27" s="473"/>
      <c r="AI27" s="478"/>
      <c r="AJ27" s="483"/>
      <c r="AK27" s="487"/>
      <c r="AL27" s="473"/>
      <c r="AM27" s="478"/>
      <c r="AN27" s="492"/>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row>
    <row r="28" spans="2:199" s="494" customFormat="1" ht="20.100000000000001" customHeight="1">
      <c r="B28" s="402"/>
      <c r="C28" s="402"/>
      <c r="D28" s="405"/>
      <c r="E28" s="407" t="s">
        <v>458</v>
      </c>
      <c r="F28" s="408"/>
      <c r="G28" s="410"/>
      <c r="H28" s="408"/>
      <c r="I28" s="412"/>
      <c r="J28" s="410"/>
      <c r="K28" s="412"/>
      <c r="L28" s="414"/>
      <c r="M28" s="416"/>
      <c r="N28" s="418"/>
      <c r="O28" s="495"/>
      <c r="P28" s="495"/>
      <c r="Q28" s="495"/>
      <c r="R28" s="405"/>
      <c r="S28" s="426"/>
      <c r="T28" s="420" t="s">
        <v>382</v>
      </c>
      <c r="U28" s="281" t="s">
        <v>96</v>
      </c>
      <c r="V28" s="473"/>
      <c r="W28" s="478"/>
      <c r="X28" s="487"/>
      <c r="Y28" s="473"/>
      <c r="Z28" s="478"/>
      <c r="AA28" s="483"/>
      <c r="AB28" s="487"/>
      <c r="AC28" s="473"/>
      <c r="AD28" s="478"/>
      <c r="AE28" s="483"/>
      <c r="AF28" s="483"/>
      <c r="AG28" s="487"/>
      <c r="AH28" s="473"/>
      <c r="AI28" s="478"/>
      <c r="AJ28" s="483"/>
      <c r="AK28" s="487"/>
      <c r="AL28" s="473"/>
      <c r="AM28" s="478"/>
      <c r="AN28" s="492"/>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row>
    <row r="29" spans="2:199" customFormat="1" ht="20.100000000000001" customHeight="1">
      <c r="B29" s="402"/>
      <c r="C29" s="402"/>
      <c r="D29" s="405" t="str">
        <f>D8&amp;"-03"</f>
        <v>D0501-03</v>
      </c>
      <c r="E29" s="407" t="s">
        <v>352</v>
      </c>
      <c r="F29" s="408">
        <v>43076</v>
      </c>
      <c r="G29" s="410">
        <v>1</v>
      </c>
      <c r="H29" s="408">
        <v>43076</v>
      </c>
      <c r="I29" s="412">
        <v>43087</v>
      </c>
      <c r="J29" s="410">
        <v>1</v>
      </c>
      <c r="K29" s="412">
        <v>43087</v>
      </c>
      <c r="L29" s="414"/>
      <c r="M29" s="416">
        <v>1</v>
      </c>
      <c r="N29" s="418">
        <f>3/4</f>
        <v>0.75</v>
      </c>
      <c r="O29" s="418">
        <f t="shared" si="1"/>
        <v>0.75</v>
      </c>
      <c r="P29" s="418">
        <f t="shared" si="0"/>
        <v>0.75</v>
      </c>
      <c r="Q29" s="418">
        <f t="shared" si="2"/>
        <v>0.75</v>
      </c>
      <c r="R29" s="405"/>
      <c r="S29" s="426"/>
      <c r="T29" s="420" t="s">
        <v>382</v>
      </c>
      <c r="U29" s="493" t="s">
        <v>489</v>
      </c>
      <c r="V29" s="473"/>
      <c r="W29" s="478"/>
      <c r="X29" s="487"/>
      <c r="Y29" s="473"/>
      <c r="Z29" s="478"/>
      <c r="AA29" s="483"/>
      <c r="AB29" s="487"/>
      <c r="AC29" s="473"/>
      <c r="AD29" s="478"/>
      <c r="AE29" s="483"/>
      <c r="AF29" s="483"/>
      <c r="AG29" s="487"/>
      <c r="AH29" s="473"/>
      <c r="AI29" s="478"/>
      <c r="AJ29" s="483"/>
      <c r="AK29" s="487"/>
      <c r="AL29" s="473"/>
      <c r="AM29" s="478"/>
      <c r="AN29" s="492"/>
    </row>
    <row r="30" spans="2:199" customFormat="1" ht="20.100000000000001" customHeight="1">
      <c r="B30" s="402"/>
      <c r="C30" s="402"/>
      <c r="D30" s="405" t="str">
        <f>D8&amp;"-04"</f>
        <v>D0501-04</v>
      </c>
      <c r="E30" s="407" t="s">
        <v>353</v>
      </c>
      <c r="F30" s="408">
        <f>H10+1</f>
        <v>43076</v>
      </c>
      <c r="G30" s="410">
        <v>3</v>
      </c>
      <c r="H30" s="408">
        <v>43080</v>
      </c>
      <c r="I30" s="412">
        <v>43087</v>
      </c>
      <c r="J30" s="410">
        <v>2</v>
      </c>
      <c r="K30" s="412">
        <v>43088</v>
      </c>
      <c r="L30" s="414"/>
      <c r="M30" s="416">
        <v>1</v>
      </c>
      <c r="N30" s="418">
        <f>3/4</f>
        <v>0.75</v>
      </c>
      <c r="O30" s="418">
        <f t="shared" si="1"/>
        <v>2.25</v>
      </c>
      <c r="P30" s="418">
        <f t="shared" si="0"/>
        <v>2.25</v>
      </c>
      <c r="Q30" s="418">
        <f t="shared" si="2"/>
        <v>2.25</v>
      </c>
      <c r="R30" s="405"/>
      <c r="S30" s="426"/>
      <c r="T30" s="420" t="s">
        <v>382</v>
      </c>
      <c r="U30" s="493" t="s">
        <v>489</v>
      </c>
      <c r="V30" s="473"/>
      <c r="W30" s="478"/>
      <c r="X30" s="487"/>
      <c r="Y30" s="473"/>
      <c r="Z30" s="478"/>
      <c r="AA30" s="483"/>
      <c r="AB30" s="487"/>
      <c r="AC30" s="473"/>
      <c r="AD30" s="478"/>
      <c r="AE30" s="483"/>
      <c r="AF30" s="483"/>
      <c r="AG30" s="487"/>
      <c r="AH30" s="473"/>
      <c r="AI30" s="478"/>
      <c r="AJ30" s="483"/>
      <c r="AK30" s="487"/>
      <c r="AL30" s="473"/>
      <c r="AM30" s="478"/>
      <c r="AN30" s="492"/>
    </row>
    <row r="31" spans="2:199" customFormat="1" ht="20.100000000000001" customHeight="1">
      <c r="B31" s="402"/>
      <c r="C31" s="402"/>
      <c r="D31" s="405" t="str">
        <f>D8&amp;"-05"</f>
        <v>D0501-05</v>
      </c>
      <c r="E31" s="407" t="s">
        <v>354</v>
      </c>
      <c r="F31" s="408">
        <f>H30+1</f>
        <v>43081</v>
      </c>
      <c r="G31" s="410">
        <v>3</v>
      </c>
      <c r="H31" s="408">
        <v>43083</v>
      </c>
      <c r="I31" s="412">
        <v>43088</v>
      </c>
      <c r="J31" s="410">
        <v>1</v>
      </c>
      <c r="K31" s="412">
        <v>43088</v>
      </c>
      <c r="L31" s="414"/>
      <c r="M31" s="416">
        <v>1</v>
      </c>
      <c r="N31" s="418">
        <v>1</v>
      </c>
      <c r="O31" s="418">
        <f t="shared" si="1"/>
        <v>3</v>
      </c>
      <c r="P31" s="418">
        <f t="shared" si="0"/>
        <v>3</v>
      </c>
      <c r="Q31" s="418">
        <f t="shared" si="2"/>
        <v>3</v>
      </c>
      <c r="R31" s="405"/>
      <c r="S31" s="426"/>
      <c r="T31" s="420" t="s">
        <v>382</v>
      </c>
      <c r="U31" s="493" t="s">
        <v>489</v>
      </c>
      <c r="V31" s="473"/>
      <c r="W31" s="478"/>
      <c r="X31" s="487"/>
      <c r="Y31" s="473"/>
      <c r="Z31" s="478"/>
      <c r="AA31" s="483"/>
      <c r="AB31" s="487"/>
      <c r="AC31" s="473"/>
      <c r="AD31" s="478"/>
      <c r="AE31" s="483"/>
      <c r="AF31" s="483"/>
      <c r="AG31" s="487"/>
      <c r="AH31" s="473"/>
      <c r="AI31" s="478"/>
      <c r="AJ31" s="483"/>
      <c r="AK31" s="487"/>
      <c r="AL31" s="473"/>
      <c r="AM31" s="478"/>
      <c r="AN31" s="492"/>
    </row>
    <row r="32" spans="2:199" customFormat="1" ht="20.100000000000001" customHeight="1">
      <c r="B32" s="402"/>
      <c r="C32" s="404" t="s">
        <v>356</v>
      </c>
      <c r="D32" s="405" t="s">
        <v>369</v>
      </c>
      <c r="E32" s="407" t="str">
        <f>C32</f>
        <v>出荷計画一括登録（汎用）</v>
      </c>
      <c r="F32" s="408">
        <f>MIN(F33:F47)</f>
        <v>43096</v>
      </c>
      <c r="G32" s="410">
        <v>4</v>
      </c>
      <c r="H32" s="408">
        <f>MAX(H33:H47)</f>
        <v>43839</v>
      </c>
      <c r="I32" s="412">
        <v>43095</v>
      </c>
      <c r="J32" s="410"/>
      <c r="K32" s="412">
        <v>42746</v>
      </c>
      <c r="L32" s="414"/>
      <c r="M32" s="416"/>
      <c r="N32" s="418"/>
      <c r="O32" s="418">
        <f t="shared" ref="O32:O175" si="3">G32*N32</f>
        <v>0</v>
      </c>
      <c r="P32" s="418">
        <f t="shared" si="0"/>
        <v>0</v>
      </c>
      <c r="Q32" s="418">
        <f t="shared" ref="Q32:Q175" si="4">G32*N32*M32</f>
        <v>0</v>
      </c>
      <c r="R32" s="405"/>
      <c r="S32" s="401" t="s">
        <v>386</v>
      </c>
      <c r="T32" s="420" t="s">
        <v>85</v>
      </c>
      <c r="U32" s="281" t="s">
        <v>487</v>
      </c>
      <c r="V32" s="473"/>
      <c r="W32" s="478"/>
      <c r="X32" s="487"/>
      <c r="Y32" s="473"/>
      <c r="Z32" s="478"/>
      <c r="AA32" s="483"/>
      <c r="AB32" s="487"/>
      <c r="AC32" s="473"/>
      <c r="AD32" s="478"/>
      <c r="AE32" s="483"/>
      <c r="AF32" s="483"/>
      <c r="AG32" s="487"/>
      <c r="AH32" s="473"/>
      <c r="AI32" s="478"/>
      <c r="AJ32" s="483"/>
      <c r="AK32" s="487"/>
      <c r="AL32" s="473"/>
      <c r="AM32" s="478"/>
      <c r="AN32" s="492"/>
    </row>
    <row r="33" spans="2:199" customFormat="1" ht="20.100000000000001" customHeight="1">
      <c r="B33" s="402"/>
      <c r="C33" s="402"/>
      <c r="D33" s="405" t="str">
        <f>D32&amp;"-01"</f>
        <v>D0502-01</v>
      </c>
      <c r="E33" s="407" t="s">
        <v>351</v>
      </c>
      <c r="F33" s="408">
        <f>H58+1</f>
        <v>43096</v>
      </c>
      <c r="G33" s="410">
        <v>1</v>
      </c>
      <c r="H33" s="408">
        <v>43096</v>
      </c>
      <c r="I33" s="412">
        <v>43096</v>
      </c>
      <c r="J33" s="410">
        <v>2</v>
      </c>
      <c r="K33" s="412">
        <v>43109</v>
      </c>
      <c r="L33" s="414"/>
      <c r="M33" s="416">
        <v>1</v>
      </c>
      <c r="N33" s="418">
        <f>2/3</f>
        <v>0.66666666666666663</v>
      </c>
      <c r="O33" s="418">
        <f t="shared" si="3"/>
        <v>0.66666666666666663</v>
      </c>
      <c r="P33" s="418">
        <f t="shared" si="0"/>
        <v>0.66666666666666663</v>
      </c>
      <c r="Q33" s="418">
        <f t="shared" si="4"/>
        <v>0.66666666666666663</v>
      </c>
      <c r="R33" s="405"/>
      <c r="S33" s="426"/>
      <c r="T33" s="420" t="s">
        <v>382</v>
      </c>
      <c r="U33" s="493" t="s">
        <v>489</v>
      </c>
      <c r="V33" s="473"/>
      <c r="W33" s="478"/>
      <c r="X33" s="487"/>
      <c r="Y33" s="473"/>
      <c r="Z33" s="478"/>
      <c r="AA33" s="483"/>
      <c r="AB33" s="487"/>
      <c r="AC33" s="473"/>
      <c r="AD33" s="478"/>
      <c r="AE33" s="483"/>
      <c r="AF33" s="483"/>
      <c r="AG33" s="487"/>
      <c r="AH33" s="473"/>
      <c r="AI33" s="478"/>
      <c r="AJ33" s="483"/>
      <c r="AK33" s="487"/>
      <c r="AL33" s="473"/>
      <c r="AM33" s="478"/>
      <c r="AN33" s="492"/>
    </row>
    <row r="34" spans="2:199" customFormat="1" ht="20.100000000000001" customHeight="1">
      <c r="B34" s="402"/>
      <c r="C34" s="402"/>
      <c r="D34" s="405" t="str">
        <f>D32&amp;"-02"</f>
        <v>D0502-02</v>
      </c>
      <c r="E34" s="407" t="s">
        <v>347</v>
      </c>
      <c r="F34" s="408">
        <f>H33</f>
        <v>43096</v>
      </c>
      <c r="G34" s="410">
        <v>2</v>
      </c>
      <c r="H34" s="408">
        <v>43109</v>
      </c>
      <c r="I34" s="412">
        <v>43095</v>
      </c>
      <c r="J34" s="410"/>
      <c r="K34" s="412">
        <v>42744</v>
      </c>
      <c r="L34" s="414"/>
      <c r="M34" s="416">
        <v>1</v>
      </c>
      <c r="N34" s="418">
        <f>2/3</f>
        <v>0.66666666666666663</v>
      </c>
      <c r="O34" s="418">
        <f t="shared" si="3"/>
        <v>1.3333333333333333</v>
      </c>
      <c r="P34" s="418">
        <f t="shared" si="0"/>
        <v>1.3333333333333333</v>
      </c>
      <c r="Q34" s="418">
        <f t="shared" si="4"/>
        <v>1.3333333333333333</v>
      </c>
      <c r="R34" s="405"/>
      <c r="S34" s="426"/>
      <c r="T34" s="420" t="s">
        <v>382</v>
      </c>
      <c r="U34" s="493" t="s">
        <v>489</v>
      </c>
      <c r="V34" s="473"/>
      <c r="W34" s="478"/>
      <c r="X34" s="487"/>
      <c r="Y34" s="473"/>
      <c r="Z34" s="478"/>
      <c r="AA34" s="483"/>
      <c r="AB34" s="487"/>
      <c r="AC34" s="473"/>
      <c r="AD34" s="478"/>
      <c r="AE34" s="483"/>
      <c r="AF34" s="483"/>
      <c r="AG34" s="487"/>
      <c r="AH34" s="473"/>
      <c r="AI34" s="478"/>
      <c r="AJ34" s="483"/>
      <c r="AK34" s="487"/>
      <c r="AL34" s="473"/>
      <c r="AM34" s="478"/>
      <c r="AN34" s="492"/>
    </row>
    <row r="35" spans="2:199" s="494" customFormat="1" ht="20.100000000000001" customHeight="1">
      <c r="B35" s="402"/>
      <c r="C35" s="402"/>
      <c r="D35" s="405"/>
      <c r="E35" s="407" t="s">
        <v>463</v>
      </c>
      <c r="F35" s="408">
        <f>F34</f>
        <v>43096</v>
      </c>
      <c r="G35" s="410">
        <v>2</v>
      </c>
      <c r="H35" s="408">
        <v>43109</v>
      </c>
      <c r="I35" s="412">
        <v>43095</v>
      </c>
      <c r="J35" s="410"/>
      <c r="K35" s="412">
        <v>42744</v>
      </c>
      <c r="L35" s="414"/>
      <c r="M35" s="416">
        <v>1</v>
      </c>
      <c r="N35" s="418"/>
      <c r="O35" s="495"/>
      <c r="P35" s="495"/>
      <c r="Q35" s="495"/>
      <c r="R35" s="405"/>
      <c r="S35" s="426"/>
      <c r="T35" s="420" t="s">
        <v>382</v>
      </c>
      <c r="U35" s="493" t="s">
        <v>489</v>
      </c>
      <c r="V35" s="473"/>
      <c r="W35" s="478"/>
      <c r="X35" s="487"/>
      <c r="Y35" s="473"/>
      <c r="Z35" s="478"/>
      <c r="AA35" s="483"/>
      <c r="AB35" s="487"/>
      <c r="AC35" s="473"/>
      <c r="AD35" s="478"/>
      <c r="AE35" s="483"/>
      <c r="AF35" s="483"/>
      <c r="AG35" s="487"/>
      <c r="AH35" s="473"/>
      <c r="AI35" s="478"/>
      <c r="AJ35" s="483"/>
      <c r="AK35" s="487"/>
      <c r="AL35" s="473"/>
      <c r="AM35" s="478"/>
      <c r="AN35" s="492"/>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row>
    <row r="36" spans="2:199" s="494" customFormat="1" ht="20.100000000000001" customHeight="1">
      <c r="B36" s="402"/>
      <c r="C36" s="402"/>
      <c r="D36" s="405" t="s">
        <v>441</v>
      </c>
      <c r="E36" s="407" t="s">
        <v>428</v>
      </c>
      <c r="F36" s="408">
        <f>F34</f>
        <v>43096</v>
      </c>
      <c r="G36" s="410">
        <v>1</v>
      </c>
      <c r="H36" s="408">
        <v>43096</v>
      </c>
      <c r="I36" s="412">
        <v>43095</v>
      </c>
      <c r="J36" s="410">
        <v>1</v>
      </c>
      <c r="K36" s="412">
        <v>43095</v>
      </c>
      <c r="L36" s="414"/>
      <c r="M36" s="416">
        <v>1</v>
      </c>
      <c r="N36" s="418"/>
      <c r="O36" s="495"/>
      <c r="P36" s="495"/>
      <c r="Q36" s="495"/>
      <c r="R36" s="405"/>
      <c r="S36" s="426"/>
      <c r="T36" s="420" t="s">
        <v>382</v>
      </c>
      <c r="U36" s="493" t="s">
        <v>489</v>
      </c>
      <c r="V36" s="473"/>
      <c r="W36" s="478"/>
      <c r="X36" s="487"/>
      <c r="Y36" s="473"/>
      <c r="Z36" s="478"/>
      <c r="AA36" s="483"/>
      <c r="AB36" s="487"/>
      <c r="AC36" s="473"/>
      <c r="AD36" s="478"/>
      <c r="AE36" s="483"/>
      <c r="AF36" s="483"/>
      <c r="AG36" s="487"/>
      <c r="AH36" s="473"/>
      <c r="AI36" s="478"/>
      <c r="AJ36" s="483"/>
      <c r="AK36" s="487"/>
      <c r="AL36" s="473"/>
      <c r="AM36" s="478"/>
      <c r="AN36" s="492"/>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row>
    <row r="37" spans="2:199" s="494" customFormat="1" ht="20.100000000000001" customHeight="1">
      <c r="B37" s="402"/>
      <c r="C37" s="402"/>
      <c r="D37" s="405"/>
      <c r="E37" s="407" t="s">
        <v>464</v>
      </c>
      <c r="F37" s="408">
        <f>H35</f>
        <v>43109</v>
      </c>
      <c r="G37" s="410">
        <v>1</v>
      </c>
      <c r="H37" s="408">
        <v>43109</v>
      </c>
      <c r="I37" s="412">
        <v>43109</v>
      </c>
      <c r="J37" s="410">
        <v>1</v>
      </c>
      <c r="K37" s="412">
        <v>43109</v>
      </c>
      <c r="L37" s="414"/>
      <c r="M37" s="416">
        <v>1</v>
      </c>
      <c r="N37" s="418"/>
      <c r="O37" s="495"/>
      <c r="P37" s="495"/>
      <c r="Q37" s="495"/>
      <c r="R37" s="405"/>
      <c r="S37" s="426"/>
      <c r="T37" s="420" t="s">
        <v>382</v>
      </c>
      <c r="U37" s="493" t="s">
        <v>489</v>
      </c>
      <c r="V37" s="473"/>
      <c r="W37" s="478"/>
      <c r="X37" s="487"/>
      <c r="Y37" s="473"/>
      <c r="Z37" s="478"/>
      <c r="AA37" s="483"/>
      <c r="AB37" s="487"/>
      <c r="AC37" s="473"/>
      <c r="AD37" s="478"/>
      <c r="AE37" s="483"/>
      <c r="AF37" s="483"/>
      <c r="AG37" s="487"/>
      <c r="AH37" s="473"/>
      <c r="AI37" s="478"/>
      <c r="AJ37" s="483"/>
      <c r="AK37" s="487"/>
      <c r="AL37" s="473"/>
      <c r="AM37" s="478"/>
      <c r="AN37" s="492"/>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row>
    <row r="38" spans="2:199" s="494" customFormat="1" ht="20.100000000000001" customHeight="1">
      <c r="B38" s="402"/>
      <c r="C38" s="402"/>
      <c r="D38" s="405"/>
      <c r="E38" s="407" t="s">
        <v>465</v>
      </c>
      <c r="F38" s="408">
        <f>H35</f>
        <v>43109</v>
      </c>
      <c r="G38" s="410">
        <v>1</v>
      </c>
      <c r="H38" s="408">
        <v>43109</v>
      </c>
      <c r="I38" s="412">
        <v>43109</v>
      </c>
      <c r="J38" s="410">
        <v>1</v>
      </c>
      <c r="K38" s="412">
        <v>43109</v>
      </c>
      <c r="L38" s="414"/>
      <c r="M38" s="416">
        <v>1</v>
      </c>
      <c r="N38" s="418"/>
      <c r="O38" s="495"/>
      <c r="P38" s="495"/>
      <c r="Q38" s="495"/>
      <c r="R38" s="405"/>
      <c r="S38" s="426"/>
      <c r="T38" s="420" t="s">
        <v>382</v>
      </c>
      <c r="U38" s="493" t="s">
        <v>489</v>
      </c>
      <c r="V38" s="473"/>
      <c r="W38" s="478"/>
      <c r="X38" s="487"/>
      <c r="Y38" s="473"/>
      <c r="Z38" s="478"/>
      <c r="AA38" s="483"/>
      <c r="AB38" s="487"/>
      <c r="AC38" s="473"/>
      <c r="AD38" s="478"/>
      <c r="AE38" s="483"/>
      <c r="AF38" s="483"/>
      <c r="AG38" s="487"/>
      <c r="AH38" s="473"/>
      <c r="AI38" s="478"/>
      <c r="AJ38" s="483"/>
      <c r="AK38" s="487"/>
      <c r="AL38" s="473"/>
      <c r="AM38" s="478"/>
      <c r="AN38" s="492"/>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row>
    <row r="39" spans="2:199" s="494" customFormat="1" ht="20.100000000000001" customHeight="1">
      <c r="B39" s="402"/>
      <c r="C39" s="402"/>
      <c r="D39" s="405"/>
      <c r="E39" s="407" t="s">
        <v>466</v>
      </c>
      <c r="F39" s="408">
        <f>H35</f>
        <v>43109</v>
      </c>
      <c r="G39" s="410">
        <v>1</v>
      </c>
      <c r="H39" s="408">
        <v>43109</v>
      </c>
      <c r="I39" s="412">
        <v>43109</v>
      </c>
      <c r="J39" s="410">
        <v>1</v>
      </c>
      <c r="K39" s="412">
        <v>43109</v>
      </c>
      <c r="L39" s="414"/>
      <c r="M39" s="416">
        <v>1</v>
      </c>
      <c r="N39" s="418"/>
      <c r="O39" s="495"/>
      <c r="P39" s="495"/>
      <c r="Q39" s="495"/>
      <c r="R39" s="405"/>
      <c r="S39" s="426"/>
      <c r="T39" s="420" t="s">
        <v>382</v>
      </c>
      <c r="U39" s="493" t="s">
        <v>489</v>
      </c>
      <c r="V39" s="473"/>
      <c r="W39" s="478"/>
      <c r="X39" s="487"/>
      <c r="Y39" s="473"/>
      <c r="Z39" s="478"/>
      <c r="AA39" s="483"/>
      <c r="AB39" s="487"/>
      <c r="AC39" s="473"/>
      <c r="AD39" s="478"/>
      <c r="AE39" s="483"/>
      <c r="AF39" s="483"/>
      <c r="AG39" s="487"/>
      <c r="AH39" s="473"/>
      <c r="AI39" s="478"/>
      <c r="AJ39" s="483"/>
      <c r="AK39" s="487"/>
      <c r="AL39" s="473"/>
      <c r="AM39" s="478"/>
      <c r="AN39" s="492"/>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row>
    <row r="40" spans="2:199" s="494" customFormat="1" ht="20.100000000000001" customHeight="1">
      <c r="B40" s="402"/>
      <c r="C40" s="402"/>
      <c r="D40" s="405"/>
      <c r="E40" s="407" t="s">
        <v>467</v>
      </c>
      <c r="F40" s="408">
        <f>H35</f>
        <v>43109</v>
      </c>
      <c r="G40" s="410">
        <v>1</v>
      </c>
      <c r="H40" s="408">
        <v>43109</v>
      </c>
      <c r="I40" s="412">
        <v>43109</v>
      </c>
      <c r="J40" s="410">
        <v>1</v>
      </c>
      <c r="K40" s="412">
        <v>43109</v>
      </c>
      <c r="L40" s="414"/>
      <c r="M40" s="416">
        <v>1</v>
      </c>
      <c r="N40" s="418"/>
      <c r="O40" s="495"/>
      <c r="P40" s="495"/>
      <c r="Q40" s="495"/>
      <c r="R40" s="405"/>
      <c r="S40" s="426"/>
      <c r="T40" s="420" t="s">
        <v>382</v>
      </c>
      <c r="U40" s="493" t="s">
        <v>489</v>
      </c>
      <c r="V40" s="473"/>
      <c r="W40" s="478"/>
      <c r="X40" s="487"/>
      <c r="Y40" s="473"/>
      <c r="Z40" s="478"/>
      <c r="AA40" s="483"/>
      <c r="AB40" s="487"/>
      <c r="AC40" s="473"/>
      <c r="AD40" s="478"/>
      <c r="AE40" s="483"/>
      <c r="AF40" s="483"/>
      <c r="AG40" s="487"/>
      <c r="AH40" s="473"/>
      <c r="AI40" s="478"/>
      <c r="AJ40" s="483"/>
      <c r="AK40" s="487"/>
      <c r="AL40" s="473"/>
      <c r="AM40" s="478"/>
      <c r="AN40" s="492"/>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row>
    <row r="41" spans="2:199" s="494" customFormat="1" ht="20.100000000000001" customHeight="1">
      <c r="B41" s="402"/>
      <c r="C41" s="402"/>
      <c r="D41" s="405"/>
      <c r="E41" s="407" t="s">
        <v>468</v>
      </c>
      <c r="F41" s="408">
        <f>H35</f>
        <v>43109</v>
      </c>
      <c r="G41" s="410">
        <v>1</v>
      </c>
      <c r="H41" s="408">
        <v>43109</v>
      </c>
      <c r="I41" s="412">
        <v>43109</v>
      </c>
      <c r="J41" s="410">
        <v>1</v>
      </c>
      <c r="K41" s="412">
        <v>43109</v>
      </c>
      <c r="L41" s="414"/>
      <c r="M41" s="416">
        <v>1</v>
      </c>
      <c r="N41" s="418"/>
      <c r="O41" s="495"/>
      <c r="P41" s="495"/>
      <c r="Q41" s="495"/>
      <c r="R41" s="405"/>
      <c r="S41" s="426"/>
      <c r="T41" s="420" t="s">
        <v>382</v>
      </c>
      <c r="U41" s="493" t="s">
        <v>489</v>
      </c>
      <c r="V41" s="473"/>
      <c r="W41" s="478"/>
      <c r="X41" s="487"/>
      <c r="Y41" s="473"/>
      <c r="Z41" s="478"/>
      <c r="AA41" s="483"/>
      <c r="AB41" s="487"/>
      <c r="AC41" s="473"/>
      <c r="AD41" s="478"/>
      <c r="AE41" s="483"/>
      <c r="AF41" s="483"/>
      <c r="AG41" s="487"/>
      <c r="AH41" s="473"/>
      <c r="AI41" s="478"/>
      <c r="AJ41" s="483"/>
      <c r="AK41" s="487"/>
      <c r="AL41" s="473"/>
      <c r="AM41" s="478"/>
      <c r="AN41" s="492"/>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row>
    <row r="42" spans="2:199" s="494" customFormat="1" ht="20.100000000000001" customHeight="1">
      <c r="B42" s="402"/>
      <c r="C42" s="402"/>
      <c r="D42" s="405"/>
      <c r="E42" s="407" t="s">
        <v>469</v>
      </c>
      <c r="F42" s="408">
        <f>H35</f>
        <v>43109</v>
      </c>
      <c r="G42" s="410">
        <v>1</v>
      </c>
      <c r="H42" s="408">
        <v>43109</v>
      </c>
      <c r="I42" s="412">
        <v>43109</v>
      </c>
      <c r="J42" s="410">
        <v>1</v>
      </c>
      <c r="K42" s="412">
        <v>43109</v>
      </c>
      <c r="L42" s="414"/>
      <c r="M42" s="416">
        <v>1</v>
      </c>
      <c r="N42" s="418"/>
      <c r="O42" s="495"/>
      <c r="P42" s="495"/>
      <c r="Q42" s="495"/>
      <c r="R42" s="405"/>
      <c r="S42" s="426"/>
      <c r="T42" s="420" t="s">
        <v>382</v>
      </c>
      <c r="U42" s="493" t="s">
        <v>489</v>
      </c>
      <c r="V42" s="473"/>
      <c r="W42" s="478"/>
      <c r="X42" s="487"/>
      <c r="Y42" s="473"/>
      <c r="Z42" s="478"/>
      <c r="AA42" s="483"/>
      <c r="AB42" s="487"/>
      <c r="AC42" s="473"/>
      <c r="AD42" s="478"/>
      <c r="AE42" s="483"/>
      <c r="AF42" s="483"/>
      <c r="AG42" s="487"/>
      <c r="AH42" s="473"/>
      <c r="AI42" s="478"/>
      <c r="AJ42" s="483"/>
      <c r="AK42" s="487"/>
      <c r="AL42" s="473"/>
      <c r="AM42" s="478"/>
      <c r="AN42" s="49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row>
    <row r="43" spans="2:199" s="494" customFormat="1" ht="20.100000000000001" customHeight="1">
      <c r="B43" s="402"/>
      <c r="C43" s="402"/>
      <c r="D43" s="405"/>
      <c r="E43" s="407" t="s">
        <v>470</v>
      </c>
      <c r="F43" s="408">
        <f>H35</f>
        <v>43109</v>
      </c>
      <c r="G43" s="410">
        <v>1</v>
      </c>
      <c r="H43" s="408">
        <v>43109</v>
      </c>
      <c r="I43" s="412">
        <v>43109</v>
      </c>
      <c r="J43" s="410">
        <v>1</v>
      </c>
      <c r="K43" s="412">
        <v>43109</v>
      </c>
      <c r="L43" s="414"/>
      <c r="M43" s="416">
        <v>1</v>
      </c>
      <c r="N43" s="418"/>
      <c r="O43" s="495"/>
      <c r="P43" s="495"/>
      <c r="Q43" s="495"/>
      <c r="R43" s="405"/>
      <c r="S43" s="426"/>
      <c r="T43" s="420" t="s">
        <v>382</v>
      </c>
      <c r="U43" s="493" t="s">
        <v>489</v>
      </c>
      <c r="V43" s="473"/>
      <c r="W43" s="478"/>
      <c r="X43" s="487"/>
      <c r="Y43" s="473"/>
      <c r="Z43" s="478"/>
      <c r="AA43" s="483"/>
      <c r="AB43" s="487"/>
      <c r="AC43" s="473"/>
      <c r="AD43" s="478"/>
      <c r="AE43" s="483"/>
      <c r="AF43" s="483"/>
      <c r="AG43" s="487"/>
      <c r="AH43" s="473"/>
      <c r="AI43" s="478"/>
      <c r="AJ43" s="483"/>
      <c r="AK43" s="487"/>
      <c r="AL43" s="473"/>
      <c r="AM43" s="478"/>
      <c r="AN43" s="492"/>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row>
    <row r="44" spans="2:199" s="494" customFormat="1" ht="20.100000000000001" customHeight="1">
      <c r="B44" s="402"/>
      <c r="C44" s="402"/>
      <c r="D44" s="405"/>
      <c r="E44" s="407" t="s">
        <v>432</v>
      </c>
      <c r="F44" s="408">
        <f>H35</f>
        <v>43109</v>
      </c>
      <c r="G44" s="410">
        <v>1</v>
      </c>
      <c r="H44" s="408">
        <v>43839</v>
      </c>
      <c r="I44" s="412">
        <v>43840</v>
      </c>
      <c r="J44" s="410">
        <v>1</v>
      </c>
      <c r="K44" s="412">
        <v>43842</v>
      </c>
      <c r="L44" s="414"/>
      <c r="M44" s="416">
        <v>1</v>
      </c>
      <c r="N44" s="418"/>
      <c r="O44" s="495"/>
      <c r="P44" s="495"/>
      <c r="Q44" s="495"/>
      <c r="R44" s="405"/>
      <c r="S44" s="426"/>
      <c r="T44" s="420" t="s">
        <v>382</v>
      </c>
      <c r="U44" s="493" t="s">
        <v>489</v>
      </c>
      <c r="V44" s="473"/>
      <c r="W44" s="478"/>
      <c r="X44" s="487"/>
      <c r="Y44" s="473"/>
      <c r="Z44" s="478"/>
      <c r="AA44" s="483"/>
      <c r="AB44" s="487"/>
      <c r="AC44" s="473"/>
      <c r="AD44" s="478"/>
      <c r="AE44" s="483"/>
      <c r="AF44" s="483"/>
      <c r="AG44" s="487"/>
      <c r="AH44" s="473"/>
      <c r="AI44" s="478"/>
      <c r="AJ44" s="483"/>
      <c r="AK44" s="487"/>
      <c r="AL44" s="473"/>
      <c r="AM44" s="478"/>
      <c r="AN44" s="492"/>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row>
    <row r="45" spans="2:199" customFormat="1" ht="20.100000000000001" customHeight="1">
      <c r="B45" s="402"/>
      <c r="C45" s="402"/>
      <c r="D45" s="405" t="str">
        <f>D32&amp;"-03"</f>
        <v>D0502-03</v>
      </c>
      <c r="E45" s="407" t="s">
        <v>352</v>
      </c>
      <c r="F45" s="408">
        <f>H34+1</f>
        <v>43110</v>
      </c>
      <c r="G45" s="410">
        <v>1</v>
      </c>
      <c r="H45" s="408">
        <v>43110</v>
      </c>
      <c r="I45" s="412">
        <v>43096</v>
      </c>
      <c r="J45" s="410">
        <v>1</v>
      </c>
      <c r="K45" s="412">
        <v>43096</v>
      </c>
      <c r="L45" s="414"/>
      <c r="M45" s="416">
        <v>1</v>
      </c>
      <c r="N45" s="418">
        <f>1/2</f>
        <v>0.5</v>
      </c>
      <c r="O45" s="418">
        <f t="shared" si="3"/>
        <v>0.5</v>
      </c>
      <c r="P45" s="418">
        <f t="shared" si="0"/>
        <v>0.5</v>
      </c>
      <c r="Q45" s="418">
        <f t="shared" si="4"/>
        <v>0.5</v>
      </c>
      <c r="R45" s="405"/>
      <c r="S45" s="426"/>
      <c r="T45" s="420" t="s">
        <v>382</v>
      </c>
      <c r="U45" s="493" t="s">
        <v>489</v>
      </c>
      <c r="V45" s="473"/>
      <c r="W45" s="478"/>
      <c r="X45" s="487"/>
      <c r="Y45" s="473"/>
      <c r="Z45" s="478"/>
      <c r="AA45" s="483"/>
      <c r="AB45" s="487"/>
      <c r="AC45" s="473"/>
      <c r="AD45" s="478"/>
      <c r="AE45" s="483"/>
      <c r="AF45" s="483"/>
      <c r="AG45" s="487"/>
      <c r="AH45" s="473"/>
      <c r="AI45" s="478"/>
      <c r="AJ45" s="483"/>
      <c r="AK45" s="487"/>
      <c r="AL45" s="473"/>
      <c r="AM45" s="478"/>
      <c r="AN45" s="492"/>
    </row>
    <row r="46" spans="2:199" customFormat="1" ht="20.100000000000001" customHeight="1">
      <c r="B46" s="402"/>
      <c r="C46" s="402"/>
      <c r="D46" s="405" t="str">
        <f>D32&amp;"-04"</f>
        <v>D0502-04</v>
      </c>
      <c r="E46" s="407" t="s">
        <v>353</v>
      </c>
      <c r="F46" s="408">
        <f>H45</f>
        <v>43110</v>
      </c>
      <c r="G46" s="410">
        <v>1</v>
      </c>
      <c r="H46" s="408">
        <v>43110</v>
      </c>
      <c r="I46" s="412">
        <v>43110</v>
      </c>
      <c r="J46" s="410">
        <v>1</v>
      </c>
      <c r="K46" s="412">
        <v>43110</v>
      </c>
      <c r="L46" s="414"/>
      <c r="M46" s="416">
        <v>1</v>
      </c>
      <c r="N46" s="418">
        <f>1/2</f>
        <v>0.5</v>
      </c>
      <c r="O46" s="418">
        <f t="shared" si="3"/>
        <v>0.5</v>
      </c>
      <c r="P46" s="418">
        <f t="shared" si="0"/>
        <v>0.5</v>
      </c>
      <c r="Q46" s="418">
        <f t="shared" si="4"/>
        <v>0.5</v>
      </c>
      <c r="R46" s="405"/>
      <c r="S46" s="426"/>
      <c r="T46" s="420" t="s">
        <v>382</v>
      </c>
      <c r="U46" s="493" t="s">
        <v>489</v>
      </c>
      <c r="V46" s="473"/>
      <c r="W46" s="478"/>
      <c r="X46" s="487"/>
      <c r="Y46" s="473"/>
      <c r="Z46" s="478"/>
      <c r="AA46" s="483"/>
      <c r="AB46" s="487"/>
      <c r="AC46" s="473"/>
      <c r="AD46" s="478"/>
      <c r="AE46" s="483"/>
      <c r="AF46" s="483"/>
      <c r="AG46" s="487"/>
      <c r="AH46" s="473"/>
      <c r="AI46" s="478"/>
      <c r="AJ46" s="483"/>
      <c r="AK46" s="487"/>
      <c r="AL46" s="473"/>
      <c r="AM46" s="478"/>
      <c r="AN46" s="492"/>
    </row>
    <row r="47" spans="2:199" customFormat="1" ht="20.100000000000001" customHeight="1">
      <c r="B47" s="402"/>
      <c r="C47" s="402"/>
      <c r="D47" s="405" t="str">
        <f>D32&amp;"-05"</f>
        <v>D0502-05</v>
      </c>
      <c r="E47" s="407" t="s">
        <v>354</v>
      </c>
      <c r="F47" s="408">
        <f>H46+1</f>
        <v>43111</v>
      </c>
      <c r="G47" s="410">
        <v>1</v>
      </c>
      <c r="H47" s="408">
        <v>43111</v>
      </c>
      <c r="I47" s="412">
        <v>43111</v>
      </c>
      <c r="J47" s="410">
        <v>1</v>
      </c>
      <c r="K47" s="412">
        <v>43111</v>
      </c>
      <c r="L47" s="414"/>
      <c r="M47" s="416">
        <v>1</v>
      </c>
      <c r="N47" s="418">
        <v>1</v>
      </c>
      <c r="O47" s="418">
        <f t="shared" si="3"/>
        <v>1</v>
      </c>
      <c r="P47" s="418">
        <f t="shared" si="0"/>
        <v>1</v>
      </c>
      <c r="Q47" s="418">
        <f t="shared" si="4"/>
        <v>1</v>
      </c>
      <c r="R47" s="405"/>
      <c r="S47" s="426"/>
      <c r="T47" s="420" t="s">
        <v>382</v>
      </c>
      <c r="U47" s="493" t="s">
        <v>489</v>
      </c>
      <c r="V47" s="473"/>
      <c r="W47" s="478"/>
      <c r="X47" s="487"/>
      <c r="Y47" s="473"/>
      <c r="Z47" s="478"/>
      <c r="AA47" s="483"/>
      <c r="AB47" s="487"/>
      <c r="AC47" s="473"/>
      <c r="AD47" s="478"/>
      <c r="AE47" s="483"/>
      <c r="AF47" s="483"/>
      <c r="AG47" s="487"/>
      <c r="AH47" s="473"/>
      <c r="AI47" s="478"/>
      <c r="AJ47" s="483"/>
      <c r="AK47" s="487"/>
      <c r="AL47" s="473"/>
      <c r="AM47" s="478"/>
      <c r="AN47" s="492"/>
    </row>
    <row r="48" spans="2:199" customFormat="1" ht="20.100000000000001" customHeight="1">
      <c r="B48" s="402"/>
      <c r="C48" s="423" t="s">
        <v>357</v>
      </c>
      <c r="D48" s="405" t="s">
        <v>370</v>
      </c>
      <c r="E48" s="407" t="str">
        <f>C48</f>
        <v>出荷実績進捗確認画面</v>
      </c>
      <c r="F48" s="408">
        <f>MIN(F49:F58)</f>
        <v>43084</v>
      </c>
      <c r="G48" s="410">
        <v>8</v>
      </c>
      <c r="H48" s="408">
        <f>MAX(H49:H58)</f>
        <v>43095</v>
      </c>
      <c r="I48" s="412"/>
      <c r="J48" s="410"/>
      <c r="K48" s="412"/>
      <c r="L48" s="414"/>
      <c r="M48" s="416"/>
      <c r="N48" s="418"/>
      <c r="O48" s="418">
        <f t="shared" si="3"/>
        <v>0</v>
      </c>
      <c r="P48" s="418">
        <f t="shared" si="0"/>
        <v>0</v>
      </c>
      <c r="Q48" s="418">
        <f t="shared" si="4"/>
        <v>0</v>
      </c>
      <c r="R48" s="405"/>
      <c r="S48" s="401" t="s">
        <v>386</v>
      </c>
      <c r="T48" s="420" t="s">
        <v>85</v>
      </c>
      <c r="U48" s="281" t="s">
        <v>487</v>
      </c>
      <c r="V48" s="473"/>
      <c r="W48" s="478"/>
      <c r="X48" s="487"/>
      <c r="Y48" s="473"/>
      <c r="Z48" s="478"/>
      <c r="AA48" s="483"/>
      <c r="AB48" s="487"/>
      <c r="AC48" s="473"/>
      <c r="AD48" s="478"/>
      <c r="AE48" s="483"/>
      <c r="AF48" s="483"/>
      <c r="AG48" s="487"/>
      <c r="AH48" s="473"/>
      <c r="AI48" s="478"/>
      <c r="AJ48" s="483"/>
      <c r="AK48" s="487"/>
      <c r="AL48" s="473"/>
      <c r="AM48" s="478"/>
      <c r="AN48" s="492"/>
    </row>
    <row r="49" spans="2:199" customFormat="1" ht="20.100000000000001" customHeight="1">
      <c r="B49" s="402"/>
      <c r="C49" s="402"/>
      <c r="D49" s="405" t="str">
        <f>D48&amp;"-01"</f>
        <v>D0503-01</v>
      </c>
      <c r="E49" s="407" t="s">
        <v>351</v>
      </c>
      <c r="F49" s="408">
        <f>H31+1</f>
        <v>43084</v>
      </c>
      <c r="G49" s="410">
        <v>1</v>
      </c>
      <c r="H49" s="408">
        <v>43084</v>
      </c>
      <c r="I49" s="412">
        <v>43089</v>
      </c>
      <c r="J49" s="410">
        <v>1</v>
      </c>
      <c r="K49" s="412">
        <v>43089</v>
      </c>
      <c r="L49" s="414"/>
      <c r="M49" s="416">
        <v>1</v>
      </c>
      <c r="N49" s="418">
        <v>1</v>
      </c>
      <c r="O49" s="418">
        <f t="shared" si="3"/>
        <v>1</v>
      </c>
      <c r="P49" s="418">
        <f t="shared" si="0"/>
        <v>1</v>
      </c>
      <c r="Q49" s="418">
        <f t="shared" si="4"/>
        <v>1</v>
      </c>
      <c r="R49" s="405"/>
      <c r="S49" s="426"/>
      <c r="T49" s="420" t="s">
        <v>382</v>
      </c>
      <c r="U49" s="493" t="s">
        <v>489</v>
      </c>
      <c r="V49" s="473"/>
      <c r="W49" s="478"/>
      <c r="X49" s="487"/>
      <c r="Y49" s="473"/>
      <c r="Z49" s="478"/>
      <c r="AA49" s="483"/>
      <c r="AB49" s="487"/>
      <c r="AC49" s="473"/>
      <c r="AD49" s="478"/>
      <c r="AE49" s="483"/>
      <c r="AF49" s="483"/>
      <c r="AG49" s="487"/>
      <c r="AH49" s="473"/>
      <c r="AI49" s="478"/>
      <c r="AJ49" s="483"/>
      <c r="AK49" s="487"/>
      <c r="AL49" s="473"/>
      <c r="AM49" s="478"/>
      <c r="AN49" s="492"/>
    </row>
    <row r="50" spans="2:199" customFormat="1" ht="20.100000000000001" customHeight="1">
      <c r="B50" s="402"/>
      <c r="C50" s="402"/>
      <c r="D50" s="405" t="str">
        <f>D48&amp;"-02"</f>
        <v>D0503-02</v>
      </c>
      <c r="E50" s="407" t="s">
        <v>347</v>
      </c>
      <c r="F50" s="408">
        <f>H49+1</f>
        <v>43085</v>
      </c>
      <c r="G50" s="410">
        <v>3</v>
      </c>
      <c r="H50" s="408">
        <v>43089</v>
      </c>
      <c r="I50" s="412">
        <v>43089</v>
      </c>
      <c r="J50" s="410">
        <v>3</v>
      </c>
      <c r="K50" s="412">
        <v>43091</v>
      </c>
      <c r="L50" s="414"/>
      <c r="M50" s="416">
        <v>1</v>
      </c>
      <c r="N50" s="418">
        <v>1</v>
      </c>
      <c r="O50" s="418">
        <f t="shared" si="3"/>
        <v>3</v>
      </c>
      <c r="P50" s="418">
        <f t="shared" si="0"/>
        <v>3</v>
      </c>
      <c r="Q50" s="418">
        <f t="shared" si="4"/>
        <v>3</v>
      </c>
      <c r="R50" s="405"/>
      <c r="S50" s="426"/>
      <c r="T50" s="420" t="s">
        <v>382</v>
      </c>
      <c r="U50" s="493" t="s">
        <v>489</v>
      </c>
      <c r="V50" s="473"/>
      <c r="W50" s="478"/>
      <c r="X50" s="487"/>
      <c r="Y50" s="473"/>
      <c r="Z50" s="478"/>
      <c r="AA50" s="483"/>
      <c r="AB50" s="487"/>
      <c r="AC50" s="473"/>
      <c r="AD50" s="478"/>
      <c r="AE50" s="483"/>
      <c r="AF50" s="483"/>
      <c r="AG50" s="487"/>
      <c r="AH50" s="473"/>
      <c r="AI50" s="478"/>
      <c r="AJ50" s="483"/>
      <c r="AK50" s="487"/>
      <c r="AL50" s="473"/>
      <c r="AM50" s="478"/>
      <c r="AN50" s="492"/>
    </row>
    <row r="51" spans="2:199" customFormat="1" ht="20.100000000000001" customHeight="1">
      <c r="B51" s="402"/>
      <c r="C51" s="402"/>
      <c r="D51" s="405"/>
      <c r="E51" s="407" t="s">
        <v>439</v>
      </c>
      <c r="F51" s="408">
        <v>43089</v>
      </c>
      <c r="G51" s="410">
        <v>1</v>
      </c>
      <c r="H51" s="408">
        <v>43089</v>
      </c>
      <c r="I51" s="412">
        <v>43089</v>
      </c>
      <c r="J51" s="410">
        <v>1</v>
      </c>
      <c r="K51" s="412">
        <v>43089</v>
      </c>
      <c r="L51" s="414"/>
      <c r="M51" s="416">
        <v>1</v>
      </c>
      <c r="N51" s="418"/>
      <c r="O51" s="418"/>
      <c r="P51" s="418"/>
      <c r="Q51" s="418"/>
      <c r="R51" s="405"/>
      <c r="S51" s="426"/>
      <c r="T51" s="420" t="s">
        <v>382</v>
      </c>
      <c r="U51" s="493" t="s">
        <v>489</v>
      </c>
      <c r="V51" s="473"/>
      <c r="W51" s="478"/>
      <c r="X51" s="487"/>
      <c r="Y51" s="473"/>
      <c r="Z51" s="478"/>
      <c r="AA51" s="483"/>
      <c r="AB51" s="487"/>
      <c r="AC51" s="473"/>
      <c r="AD51" s="478"/>
      <c r="AE51" s="483"/>
      <c r="AF51" s="483"/>
      <c r="AG51" s="487"/>
      <c r="AH51" s="473"/>
      <c r="AI51" s="478"/>
      <c r="AJ51" s="483"/>
      <c r="AK51" s="487"/>
      <c r="AL51" s="473"/>
      <c r="AM51" s="478"/>
      <c r="AN51" s="492"/>
    </row>
    <row r="52" spans="2:199" s="494" customFormat="1" ht="20.100000000000001" customHeight="1">
      <c r="B52" s="402"/>
      <c r="C52" s="402"/>
      <c r="D52" s="405"/>
      <c r="E52" s="407" t="s">
        <v>440</v>
      </c>
      <c r="F52" s="408">
        <v>43089</v>
      </c>
      <c r="G52" s="410">
        <v>2</v>
      </c>
      <c r="H52" s="408">
        <v>43090</v>
      </c>
      <c r="I52" s="412">
        <v>43089</v>
      </c>
      <c r="J52" s="410">
        <v>3</v>
      </c>
      <c r="K52" s="412">
        <v>43091</v>
      </c>
      <c r="L52" s="414"/>
      <c r="M52" s="416">
        <v>1</v>
      </c>
      <c r="N52" s="418"/>
      <c r="O52" s="495"/>
      <c r="P52" s="495"/>
      <c r="Q52" s="495"/>
      <c r="R52" s="405"/>
      <c r="S52" s="426"/>
      <c r="T52" s="420" t="s">
        <v>382</v>
      </c>
      <c r="U52" s="493" t="s">
        <v>489</v>
      </c>
      <c r="V52" s="473"/>
      <c r="W52" s="478"/>
      <c r="X52" s="487"/>
      <c r="Y52" s="473"/>
      <c r="Z52" s="478"/>
      <c r="AA52" s="483"/>
      <c r="AB52" s="487"/>
      <c r="AC52" s="473"/>
      <c r="AD52" s="478"/>
      <c r="AE52" s="483"/>
      <c r="AF52" s="483"/>
      <c r="AG52" s="487"/>
      <c r="AH52" s="473"/>
      <c r="AI52" s="478"/>
      <c r="AJ52" s="483"/>
      <c r="AK52" s="487"/>
      <c r="AL52" s="473"/>
      <c r="AM52" s="478"/>
      <c r="AN52" s="49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row>
    <row r="53" spans="2:199" s="494" customFormat="1" ht="20.100000000000001" customHeight="1">
      <c r="B53" s="402"/>
      <c r="C53" s="402"/>
      <c r="D53" s="405" t="s">
        <v>441</v>
      </c>
      <c r="E53" s="407" t="s">
        <v>428</v>
      </c>
      <c r="F53" s="408">
        <v>43089</v>
      </c>
      <c r="G53" s="410">
        <v>2</v>
      </c>
      <c r="H53" s="408">
        <v>43090</v>
      </c>
      <c r="I53" s="412">
        <v>43089</v>
      </c>
      <c r="J53" s="410">
        <v>1</v>
      </c>
      <c r="K53" s="412">
        <v>43089</v>
      </c>
      <c r="L53" s="414"/>
      <c r="M53" s="416">
        <v>1</v>
      </c>
      <c r="N53" s="418"/>
      <c r="O53" s="495"/>
      <c r="P53" s="495"/>
      <c r="Q53" s="495"/>
      <c r="R53" s="405"/>
      <c r="S53" s="426"/>
      <c r="T53" s="420" t="s">
        <v>382</v>
      </c>
      <c r="U53" s="493" t="s">
        <v>489</v>
      </c>
      <c r="V53" s="473"/>
      <c r="W53" s="478"/>
      <c r="X53" s="487"/>
      <c r="Y53" s="473"/>
      <c r="Z53" s="478"/>
      <c r="AA53" s="483"/>
      <c r="AB53" s="487"/>
      <c r="AC53" s="473"/>
      <c r="AD53" s="478"/>
      <c r="AE53" s="483"/>
      <c r="AF53" s="483"/>
      <c r="AG53" s="487"/>
      <c r="AH53" s="473"/>
      <c r="AI53" s="478"/>
      <c r="AJ53" s="483"/>
      <c r="AK53" s="487"/>
      <c r="AL53" s="473"/>
      <c r="AM53" s="478"/>
      <c r="AN53" s="492"/>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row>
    <row r="54" spans="2:199" s="494" customFormat="1" ht="20.100000000000001" customHeight="1">
      <c r="B54" s="402"/>
      <c r="C54" s="402"/>
      <c r="D54" s="405"/>
      <c r="E54" s="407" t="s">
        <v>430</v>
      </c>
      <c r="F54" s="408">
        <v>43091</v>
      </c>
      <c r="G54" s="410">
        <v>1</v>
      </c>
      <c r="H54" s="408">
        <v>43091</v>
      </c>
      <c r="I54" s="412">
        <v>43089</v>
      </c>
      <c r="J54" s="410">
        <v>3</v>
      </c>
      <c r="K54" s="412">
        <v>43091</v>
      </c>
      <c r="L54" s="414"/>
      <c r="M54" s="416">
        <v>1</v>
      </c>
      <c r="N54" s="418"/>
      <c r="O54" s="495"/>
      <c r="P54" s="495"/>
      <c r="Q54" s="495"/>
      <c r="R54" s="405"/>
      <c r="S54" s="426"/>
      <c r="T54" s="420" t="s">
        <v>382</v>
      </c>
      <c r="U54" s="493" t="s">
        <v>489</v>
      </c>
      <c r="V54" s="473"/>
      <c r="W54" s="478"/>
      <c r="X54" s="487"/>
      <c r="Y54" s="473"/>
      <c r="Z54" s="478"/>
      <c r="AA54" s="483"/>
      <c r="AB54" s="487"/>
      <c r="AC54" s="473"/>
      <c r="AD54" s="478"/>
      <c r="AE54" s="483"/>
      <c r="AF54" s="483"/>
      <c r="AG54" s="487"/>
      <c r="AH54" s="473"/>
      <c r="AI54" s="478"/>
      <c r="AJ54" s="483"/>
      <c r="AK54" s="487"/>
      <c r="AL54" s="473"/>
      <c r="AM54" s="478"/>
      <c r="AN54" s="492"/>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row>
    <row r="55" spans="2:199" s="494" customFormat="1" ht="20.100000000000001" customHeight="1">
      <c r="B55" s="402"/>
      <c r="C55" s="402"/>
      <c r="D55" s="405"/>
      <c r="E55" s="407" t="s">
        <v>453</v>
      </c>
      <c r="F55" s="408"/>
      <c r="G55" s="410"/>
      <c r="H55" s="408"/>
      <c r="I55" s="412"/>
      <c r="J55" s="410"/>
      <c r="K55" s="412"/>
      <c r="L55" s="414"/>
      <c r="M55" s="416"/>
      <c r="N55" s="418"/>
      <c r="O55" s="495"/>
      <c r="P55" s="495"/>
      <c r="Q55" s="495"/>
      <c r="R55" s="405"/>
      <c r="S55" s="426"/>
      <c r="T55" s="420" t="s">
        <v>382</v>
      </c>
      <c r="U55" s="281" t="s">
        <v>96</v>
      </c>
      <c r="V55" s="473"/>
      <c r="W55" s="478"/>
      <c r="X55" s="487"/>
      <c r="Y55" s="473"/>
      <c r="Z55" s="478"/>
      <c r="AA55" s="483"/>
      <c r="AB55" s="487"/>
      <c r="AC55" s="473"/>
      <c r="AD55" s="478"/>
      <c r="AE55" s="483"/>
      <c r="AF55" s="483"/>
      <c r="AG55" s="487"/>
      <c r="AH55" s="473"/>
      <c r="AI55" s="478"/>
      <c r="AJ55" s="483"/>
      <c r="AK55" s="487"/>
      <c r="AL55" s="473"/>
      <c r="AM55" s="478"/>
      <c r="AN55" s="492"/>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row>
    <row r="56" spans="2:199" customFormat="1" ht="20.100000000000001" customHeight="1">
      <c r="B56" s="402"/>
      <c r="C56" s="402"/>
      <c r="D56" s="405" t="str">
        <f>D48&amp;"-03"</f>
        <v>D0503-03</v>
      </c>
      <c r="E56" s="407" t="s">
        <v>352</v>
      </c>
      <c r="F56" s="408">
        <v>43091</v>
      </c>
      <c r="G56" s="410">
        <v>1</v>
      </c>
      <c r="H56" s="408">
        <v>43091</v>
      </c>
      <c r="I56" s="412">
        <v>43091</v>
      </c>
      <c r="J56" s="410">
        <v>1</v>
      </c>
      <c r="K56" s="412">
        <v>43091</v>
      </c>
      <c r="L56" s="414"/>
      <c r="M56" s="416">
        <v>1</v>
      </c>
      <c r="N56" s="418">
        <f>2/3</f>
        <v>0.66666666666666663</v>
      </c>
      <c r="O56" s="418">
        <f t="shared" si="3"/>
        <v>0.66666666666666663</v>
      </c>
      <c r="P56" s="418">
        <f t="shared" si="0"/>
        <v>0.66666666666666663</v>
      </c>
      <c r="Q56" s="418">
        <f t="shared" si="4"/>
        <v>0.66666666666666663</v>
      </c>
      <c r="R56" s="405"/>
      <c r="S56" s="426"/>
      <c r="T56" s="420" t="s">
        <v>382</v>
      </c>
      <c r="U56" s="493" t="s">
        <v>489</v>
      </c>
      <c r="V56" s="473"/>
      <c r="W56" s="478"/>
      <c r="X56" s="487"/>
      <c r="Y56" s="473"/>
      <c r="Z56" s="478"/>
      <c r="AA56" s="483"/>
      <c r="AB56" s="487"/>
      <c r="AC56" s="473"/>
      <c r="AD56" s="478"/>
      <c r="AE56" s="483"/>
      <c r="AF56" s="483"/>
      <c r="AG56" s="487"/>
      <c r="AH56" s="473"/>
      <c r="AI56" s="478"/>
      <c r="AJ56" s="483"/>
      <c r="AK56" s="487"/>
      <c r="AL56" s="473"/>
      <c r="AM56" s="478"/>
      <c r="AN56" s="492"/>
    </row>
    <row r="57" spans="2:199" customFormat="1" ht="20.100000000000001" customHeight="1">
      <c r="B57" s="402"/>
      <c r="C57" s="402"/>
      <c r="D57" s="405" t="str">
        <f>D48&amp;"-04"</f>
        <v>D0503-04</v>
      </c>
      <c r="E57" s="407" t="s">
        <v>353</v>
      </c>
      <c r="F57" s="408">
        <v>43094</v>
      </c>
      <c r="G57" s="410">
        <v>1</v>
      </c>
      <c r="H57" s="408">
        <v>43094</v>
      </c>
      <c r="I57" s="412">
        <v>43091</v>
      </c>
      <c r="J57" s="410">
        <v>1</v>
      </c>
      <c r="K57" s="412">
        <v>43091</v>
      </c>
      <c r="L57" s="414"/>
      <c r="M57" s="416">
        <v>1</v>
      </c>
      <c r="N57" s="418">
        <f>2/3</f>
        <v>0.66666666666666663</v>
      </c>
      <c r="O57" s="418">
        <f t="shared" si="3"/>
        <v>0.66666666666666663</v>
      </c>
      <c r="P57" s="418">
        <f t="shared" si="0"/>
        <v>0.66666666666666663</v>
      </c>
      <c r="Q57" s="418">
        <f t="shared" si="4"/>
        <v>0.66666666666666663</v>
      </c>
      <c r="R57" s="405"/>
      <c r="S57" s="426"/>
      <c r="T57" s="420" t="s">
        <v>382</v>
      </c>
      <c r="U57" s="493" t="s">
        <v>489</v>
      </c>
      <c r="V57" s="473"/>
      <c r="W57" s="478"/>
      <c r="X57" s="487"/>
      <c r="Y57" s="473"/>
      <c r="Z57" s="478"/>
      <c r="AA57" s="483"/>
      <c r="AB57" s="487"/>
      <c r="AC57" s="473"/>
      <c r="AD57" s="478"/>
      <c r="AE57" s="483"/>
      <c r="AF57" s="483"/>
      <c r="AG57" s="487"/>
      <c r="AH57" s="473"/>
      <c r="AI57" s="478"/>
      <c r="AJ57" s="483"/>
      <c r="AK57" s="487"/>
      <c r="AL57" s="473"/>
      <c r="AM57" s="478"/>
      <c r="AN57" s="492"/>
    </row>
    <row r="58" spans="2:199" customFormat="1" ht="20.100000000000001" customHeight="1">
      <c r="B58" s="402"/>
      <c r="C58" s="402"/>
      <c r="D58" s="405" t="str">
        <f>D48&amp;"-05"</f>
        <v>D0503-05</v>
      </c>
      <c r="E58" s="407" t="s">
        <v>354</v>
      </c>
      <c r="F58" s="408">
        <v>43095</v>
      </c>
      <c r="G58" s="410">
        <v>1</v>
      </c>
      <c r="H58" s="408">
        <v>43095</v>
      </c>
      <c r="I58" s="412">
        <v>43091</v>
      </c>
      <c r="J58" s="410">
        <v>1</v>
      </c>
      <c r="K58" s="412">
        <v>43091</v>
      </c>
      <c r="L58" s="414"/>
      <c r="M58" s="416">
        <v>1</v>
      </c>
      <c r="N58" s="418">
        <v>1</v>
      </c>
      <c r="O58" s="418">
        <f t="shared" si="3"/>
        <v>1</v>
      </c>
      <c r="P58" s="418">
        <f t="shared" si="0"/>
        <v>1</v>
      </c>
      <c r="Q58" s="418">
        <f t="shared" si="4"/>
        <v>1</v>
      </c>
      <c r="R58" s="405"/>
      <c r="S58" s="426"/>
      <c r="T58" s="420" t="s">
        <v>382</v>
      </c>
      <c r="U58" s="493" t="s">
        <v>489</v>
      </c>
      <c r="V58" s="473"/>
      <c r="W58" s="478"/>
      <c r="X58" s="487"/>
      <c r="Y58" s="473"/>
      <c r="Z58" s="478"/>
      <c r="AA58" s="483"/>
      <c r="AB58" s="487"/>
      <c r="AC58" s="473"/>
      <c r="AD58" s="478"/>
      <c r="AE58" s="483"/>
      <c r="AF58" s="483"/>
      <c r="AG58" s="487"/>
      <c r="AH58" s="473"/>
      <c r="AI58" s="478"/>
      <c r="AJ58" s="483"/>
      <c r="AK58" s="487"/>
      <c r="AL58" s="473"/>
      <c r="AM58" s="478"/>
      <c r="AN58" s="492"/>
    </row>
    <row r="59" spans="2:199" customFormat="1" ht="20.100000000000001" customHeight="1">
      <c r="B59" s="402"/>
      <c r="C59" s="424" t="s">
        <v>358</v>
      </c>
      <c r="D59" s="405" t="s">
        <v>371</v>
      </c>
      <c r="E59" s="407" t="str">
        <f>C59</f>
        <v>需要予測チューニング画面</v>
      </c>
      <c r="F59" s="408">
        <f>MIN(F60:F80)</f>
        <v>43061</v>
      </c>
      <c r="G59" s="410">
        <v>13</v>
      </c>
      <c r="H59" s="408">
        <f>MAX(H60:H80)</f>
        <v>43080</v>
      </c>
      <c r="I59" s="412"/>
      <c r="J59" s="410"/>
      <c r="K59" s="412"/>
      <c r="L59" s="414"/>
      <c r="M59" s="416"/>
      <c r="N59" s="418"/>
      <c r="O59" s="418">
        <f t="shared" si="3"/>
        <v>0</v>
      </c>
      <c r="P59" s="418">
        <f t="shared" si="0"/>
        <v>0</v>
      </c>
      <c r="Q59" s="418">
        <f t="shared" si="4"/>
        <v>0</v>
      </c>
      <c r="R59" s="405"/>
      <c r="S59" s="401" t="s">
        <v>386</v>
      </c>
      <c r="T59" s="420" t="s">
        <v>85</v>
      </c>
      <c r="U59" s="281" t="s">
        <v>487</v>
      </c>
      <c r="V59" s="473"/>
      <c r="W59" s="478"/>
      <c r="X59" s="487"/>
      <c r="Y59" s="473"/>
      <c r="Z59" s="478"/>
      <c r="AA59" s="483"/>
      <c r="AB59" s="487"/>
      <c r="AC59" s="473"/>
      <c r="AD59" s="478"/>
      <c r="AE59" s="483"/>
      <c r="AF59" s="483"/>
      <c r="AG59" s="487"/>
      <c r="AH59" s="473"/>
      <c r="AI59" s="478"/>
      <c r="AJ59" s="483"/>
      <c r="AK59" s="487"/>
      <c r="AL59" s="473"/>
      <c r="AM59" s="478"/>
      <c r="AN59" s="492"/>
    </row>
    <row r="60" spans="2:199" customFormat="1" ht="20.100000000000001" customHeight="1">
      <c r="B60" s="402"/>
      <c r="C60" s="402"/>
      <c r="D60" s="405" t="str">
        <f>D59&amp;"-01"</f>
        <v>D0601-01</v>
      </c>
      <c r="E60" s="407" t="s">
        <v>351</v>
      </c>
      <c r="F60" s="408">
        <f>H7+1</f>
        <v>43061</v>
      </c>
      <c r="G60" s="410">
        <v>1</v>
      </c>
      <c r="H60" s="408">
        <v>43061</v>
      </c>
      <c r="I60" s="412">
        <v>43066</v>
      </c>
      <c r="J60" s="410">
        <v>5</v>
      </c>
      <c r="K60" s="412">
        <v>43070</v>
      </c>
      <c r="L60" s="414"/>
      <c r="M60" s="416">
        <v>1</v>
      </c>
      <c r="N60" s="418">
        <v>1</v>
      </c>
      <c r="O60" s="418">
        <f t="shared" si="3"/>
        <v>1</v>
      </c>
      <c r="P60" s="418">
        <f t="shared" si="0"/>
        <v>1</v>
      </c>
      <c r="Q60" s="418">
        <f t="shared" si="4"/>
        <v>1</v>
      </c>
      <c r="R60" s="405"/>
      <c r="S60" s="427"/>
      <c r="T60" s="420" t="s">
        <v>383</v>
      </c>
      <c r="U60" s="493" t="s">
        <v>489</v>
      </c>
      <c r="V60" s="473"/>
      <c r="W60" s="478"/>
      <c r="X60" s="487"/>
      <c r="Y60" s="473"/>
      <c r="Z60" s="478"/>
      <c r="AA60" s="483"/>
      <c r="AB60" s="487"/>
      <c r="AC60" s="473"/>
      <c r="AD60" s="478"/>
      <c r="AE60" s="483"/>
      <c r="AF60" s="483"/>
      <c r="AG60" s="487"/>
      <c r="AH60" s="473"/>
      <c r="AI60" s="478"/>
      <c r="AJ60" s="483"/>
      <c r="AK60" s="487"/>
      <c r="AL60" s="473"/>
      <c r="AM60" s="478"/>
      <c r="AN60" s="492"/>
    </row>
    <row r="61" spans="2:199" customFormat="1" ht="20.100000000000001" customHeight="1">
      <c r="B61" s="402"/>
      <c r="C61" s="402"/>
      <c r="D61" s="405" t="str">
        <f>D59&amp;"-02"</f>
        <v>D0601-02</v>
      </c>
      <c r="E61" s="407" t="s">
        <v>347</v>
      </c>
      <c r="F61" s="408">
        <f>H60+1</f>
        <v>43062</v>
      </c>
      <c r="G61" s="410">
        <v>7</v>
      </c>
      <c r="H61" s="408">
        <v>43073</v>
      </c>
      <c r="I61" s="412">
        <v>43066</v>
      </c>
      <c r="J61" s="410">
        <v>15</v>
      </c>
      <c r="K61" s="412">
        <v>43084</v>
      </c>
      <c r="L61" s="414"/>
      <c r="M61" s="416">
        <v>1</v>
      </c>
      <c r="N61" s="418">
        <v>1</v>
      </c>
      <c r="O61" s="418">
        <f t="shared" si="3"/>
        <v>7</v>
      </c>
      <c r="P61" s="418">
        <f t="shared" si="0"/>
        <v>7</v>
      </c>
      <c r="Q61" s="418">
        <f t="shared" si="4"/>
        <v>7</v>
      </c>
      <c r="R61" s="405"/>
      <c r="S61" s="427"/>
      <c r="T61" s="420" t="s">
        <v>383</v>
      </c>
      <c r="U61" s="493" t="s">
        <v>489</v>
      </c>
      <c r="V61" s="473"/>
      <c r="W61" s="478"/>
      <c r="X61" s="487"/>
      <c r="Y61" s="473"/>
      <c r="Z61" s="478"/>
      <c r="AA61" s="483"/>
      <c r="AB61" s="487"/>
      <c r="AC61" s="473"/>
      <c r="AD61" s="478"/>
      <c r="AE61" s="483"/>
      <c r="AF61" s="483"/>
      <c r="AG61" s="487"/>
      <c r="AH61" s="473"/>
      <c r="AI61" s="478"/>
      <c r="AJ61" s="483"/>
      <c r="AK61" s="487"/>
      <c r="AL61" s="473"/>
      <c r="AM61" s="478"/>
      <c r="AN61" s="492"/>
    </row>
    <row r="62" spans="2:199" s="494" customFormat="1" ht="20.100000000000001" customHeight="1">
      <c r="B62" s="402"/>
      <c r="C62" s="402"/>
      <c r="D62" s="405"/>
      <c r="E62" s="407" t="s">
        <v>439</v>
      </c>
      <c r="F62" s="408"/>
      <c r="G62" s="410"/>
      <c r="H62" s="408"/>
      <c r="I62" s="412"/>
      <c r="J62" s="410"/>
      <c r="K62" s="412"/>
      <c r="L62" s="414"/>
      <c r="M62" s="416"/>
      <c r="N62" s="418"/>
      <c r="O62" s="495"/>
      <c r="P62" s="495"/>
      <c r="Q62" s="495"/>
      <c r="R62" s="405"/>
      <c r="S62" s="427"/>
      <c r="T62" s="420" t="s">
        <v>383</v>
      </c>
      <c r="U62" s="281" t="s">
        <v>491</v>
      </c>
      <c r="V62" s="473"/>
      <c r="W62" s="478"/>
      <c r="X62" s="487"/>
      <c r="Y62" s="473"/>
      <c r="Z62" s="478"/>
      <c r="AA62" s="483"/>
      <c r="AB62" s="487"/>
      <c r="AC62" s="473"/>
      <c r="AD62" s="478"/>
      <c r="AE62" s="483"/>
      <c r="AF62" s="483"/>
      <c r="AG62" s="487"/>
      <c r="AH62" s="473"/>
      <c r="AI62" s="478"/>
      <c r="AJ62" s="483"/>
      <c r="AK62" s="487"/>
      <c r="AL62" s="473"/>
      <c r="AM62" s="478"/>
      <c r="AN62" s="49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row>
    <row r="63" spans="2:199" s="494" customFormat="1" ht="20.100000000000001" customHeight="1">
      <c r="B63" s="402"/>
      <c r="C63" s="402"/>
      <c r="D63" s="405"/>
      <c r="E63" s="407" t="s">
        <v>440</v>
      </c>
      <c r="F63" s="408"/>
      <c r="G63" s="410"/>
      <c r="H63" s="408"/>
      <c r="I63" s="412"/>
      <c r="J63" s="410"/>
      <c r="K63" s="412"/>
      <c r="L63" s="414"/>
      <c r="M63" s="416"/>
      <c r="N63" s="418"/>
      <c r="O63" s="495"/>
      <c r="P63" s="495"/>
      <c r="Q63" s="495"/>
      <c r="R63" s="405"/>
      <c r="S63" s="427"/>
      <c r="T63" s="420" t="s">
        <v>383</v>
      </c>
      <c r="U63" s="281" t="s">
        <v>491</v>
      </c>
      <c r="V63" s="473"/>
      <c r="W63" s="478"/>
      <c r="X63" s="487"/>
      <c r="Y63" s="473"/>
      <c r="Z63" s="478"/>
      <c r="AA63" s="483"/>
      <c r="AB63" s="487"/>
      <c r="AC63" s="473"/>
      <c r="AD63" s="478"/>
      <c r="AE63" s="483"/>
      <c r="AF63" s="483"/>
      <c r="AG63" s="487"/>
      <c r="AH63" s="473"/>
      <c r="AI63" s="478"/>
      <c r="AJ63" s="483"/>
      <c r="AK63" s="487"/>
      <c r="AL63" s="473"/>
      <c r="AM63" s="478"/>
      <c r="AN63" s="492"/>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row>
    <row r="64" spans="2:199" s="494" customFormat="1" ht="20.100000000000001" customHeight="1">
      <c r="B64" s="402"/>
      <c r="C64" s="402"/>
      <c r="D64" s="405" t="s">
        <v>441</v>
      </c>
      <c r="E64" s="407" t="s">
        <v>444</v>
      </c>
      <c r="F64" s="408"/>
      <c r="G64" s="410"/>
      <c r="H64" s="408"/>
      <c r="I64" s="412"/>
      <c r="J64" s="410"/>
      <c r="K64" s="412"/>
      <c r="L64" s="414"/>
      <c r="M64" s="416"/>
      <c r="N64" s="418"/>
      <c r="O64" s="495"/>
      <c r="P64" s="495"/>
      <c r="Q64" s="495"/>
      <c r="R64" s="405"/>
      <c r="S64" s="427"/>
      <c r="T64" s="420" t="s">
        <v>383</v>
      </c>
      <c r="U64" s="281" t="s">
        <v>96</v>
      </c>
      <c r="V64" s="473"/>
      <c r="W64" s="478"/>
      <c r="X64" s="487"/>
      <c r="Y64" s="473"/>
      <c r="Z64" s="478"/>
      <c r="AA64" s="483"/>
      <c r="AB64" s="487"/>
      <c r="AC64" s="473"/>
      <c r="AD64" s="478"/>
      <c r="AE64" s="483"/>
      <c r="AF64" s="483"/>
      <c r="AG64" s="487"/>
      <c r="AH64" s="473"/>
      <c r="AI64" s="478"/>
      <c r="AJ64" s="483"/>
      <c r="AK64" s="487"/>
      <c r="AL64" s="473"/>
      <c r="AM64" s="478"/>
      <c r="AN64" s="492"/>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row>
    <row r="65" spans="2:199" s="494" customFormat="1" ht="20.100000000000001" customHeight="1">
      <c r="B65" s="402"/>
      <c r="C65" s="402"/>
      <c r="D65" s="405"/>
      <c r="E65" s="407" t="s">
        <v>445</v>
      </c>
      <c r="F65" s="408"/>
      <c r="G65" s="410"/>
      <c r="H65" s="408"/>
      <c r="I65" s="412"/>
      <c r="J65" s="410"/>
      <c r="K65" s="412"/>
      <c r="L65" s="414"/>
      <c r="M65" s="416"/>
      <c r="N65" s="418"/>
      <c r="O65" s="495"/>
      <c r="P65" s="495"/>
      <c r="Q65" s="495"/>
      <c r="R65" s="405"/>
      <c r="S65" s="427"/>
      <c r="T65" s="420" t="s">
        <v>383</v>
      </c>
      <c r="U65" s="281" t="s">
        <v>491</v>
      </c>
      <c r="V65" s="473"/>
      <c r="W65" s="478"/>
      <c r="X65" s="487"/>
      <c r="Y65" s="473"/>
      <c r="Z65" s="478"/>
      <c r="AA65" s="483"/>
      <c r="AB65" s="487"/>
      <c r="AC65" s="473"/>
      <c r="AD65" s="478"/>
      <c r="AE65" s="483"/>
      <c r="AF65" s="483"/>
      <c r="AG65" s="487"/>
      <c r="AH65" s="473"/>
      <c r="AI65" s="478"/>
      <c r="AJ65" s="483"/>
      <c r="AK65" s="487"/>
      <c r="AL65" s="473"/>
      <c r="AM65" s="478"/>
      <c r="AN65" s="492"/>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row>
    <row r="66" spans="2:199" s="494" customFormat="1" ht="20.100000000000001" customHeight="1">
      <c r="B66" s="402"/>
      <c r="C66" s="402"/>
      <c r="D66" s="405"/>
      <c r="E66" s="407" t="s">
        <v>446</v>
      </c>
      <c r="F66" s="408"/>
      <c r="G66" s="410"/>
      <c r="H66" s="408"/>
      <c r="I66" s="412"/>
      <c r="J66" s="410"/>
      <c r="K66" s="412"/>
      <c r="L66" s="414"/>
      <c r="M66" s="416"/>
      <c r="N66" s="418"/>
      <c r="O66" s="495"/>
      <c r="P66" s="495"/>
      <c r="Q66" s="495"/>
      <c r="R66" s="405"/>
      <c r="S66" s="427"/>
      <c r="T66" s="420" t="s">
        <v>383</v>
      </c>
      <c r="U66" s="281" t="s">
        <v>491</v>
      </c>
      <c r="V66" s="473"/>
      <c r="W66" s="478"/>
      <c r="X66" s="487"/>
      <c r="Y66" s="473"/>
      <c r="Z66" s="478"/>
      <c r="AA66" s="483"/>
      <c r="AB66" s="487"/>
      <c r="AC66" s="473"/>
      <c r="AD66" s="478"/>
      <c r="AE66" s="483"/>
      <c r="AF66" s="483"/>
      <c r="AG66" s="487"/>
      <c r="AH66" s="473"/>
      <c r="AI66" s="478"/>
      <c r="AJ66" s="483"/>
      <c r="AK66" s="487"/>
      <c r="AL66" s="473"/>
      <c r="AM66" s="478"/>
      <c r="AN66" s="492"/>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row>
    <row r="67" spans="2:199" s="494" customFormat="1" ht="20.100000000000001" customHeight="1">
      <c r="B67" s="402"/>
      <c r="C67" s="402"/>
      <c r="D67" s="405"/>
      <c r="E67" s="407" t="s">
        <v>447</v>
      </c>
      <c r="F67" s="408"/>
      <c r="G67" s="410"/>
      <c r="H67" s="408"/>
      <c r="I67" s="412"/>
      <c r="J67" s="410"/>
      <c r="K67" s="412"/>
      <c r="L67" s="414"/>
      <c r="M67" s="416"/>
      <c r="N67" s="418"/>
      <c r="O67" s="495"/>
      <c r="P67" s="495"/>
      <c r="Q67" s="495"/>
      <c r="R67" s="405"/>
      <c r="S67" s="427"/>
      <c r="T67" s="420" t="s">
        <v>383</v>
      </c>
      <c r="U67" s="281" t="s">
        <v>96</v>
      </c>
      <c r="V67" s="473"/>
      <c r="W67" s="478"/>
      <c r="X67" s="487"/>
      <c r="Y67" s="473"/>
      <c r="Z67" s="478"/>
      <c r="AA67" s="483"/>
      <c r="AB67" s="487"/>
      <c r="AC67" s="473"/>
      <c r="AD67" s="478"/>
      <c r="AE67" s="483"/>
      <c r="AF67" s="483"/>
      <c r="AG67" s="487"/>
      <c r="AH67" s="473"/>
      <c r="AI67" s="478"/>
      <c r="AJ67" s="483"/>
      <c r="AK67" s="487"/>
      <c r="AL67" s="473"/>
      <c r="AM67" s="478"/>
      <c r="AN67" s="492"/>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row>
    <row r="68" spans="2:199" s="494" customFormat="1" ht="20.100000000000001" customHeight="1">
      <c r="B68" s="402"/>
      <c r="C68" s="402"/>
      <c r="D68" s="405"/>
      <c r="E68" s="407" t="s">
        <v>448</v>
      </c>
      <c r="F68" s="408"/>
      <c r="G68" s="410"/>
      <c r="H68" s="408"/>
      <c r="I68" s="412"/>
      <c r="J68" s="410"/>
      <c r="K68" s="412"/>
      <c r="L68" s="414"/>
      <c r="M68" s="416"/>
      <c r="N68" s="418"/>
      <c r="O68" s="495"/>
      <c r="P68" s="495"/>
      <c r="Q68" s="495"/>
      <c r="R68" s="405"/>
      <c r="S68" s="427"/>
      <c r="T68" s="420" t="s">
        <v>383</v>
      </c>
      <c r="U68" s="281" t="s">
        <v>96</v>
      </c>
      <c r="V68" s="473"/>
      <c r="W68" s="478"/>
      <c r="X68" s="487"/>
      <c r="Y68" s="473"/>
      <c r="Z68" s="478"/>
      <c r="AA68" s="483"/>
      <c r="AB68" s="487"/>
      <c r="AC68" s="473"/>
      <c r="AD68" s="478"/>
      <c r="AE68" s="483"/>
      <c r="AF68" s="483"/>
      <c r="AG68" s="487"/>
      <c r="AH68" s="473"/>
      <c r="AI68" s="478"/>
      <c r="AJ68" s="483"/>
      <c r="AK68" s="487"/>
      <c r="AL68" s="473"/>
      <c r="AM68" s="478"/>
      <c r="AN68" s="492"/>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row>
    <row r="69" spans="2:199" s="494" customFormat="1" ht="20.100000000000001" customHeight="1">
      <c r="B69" s="402"/>
      <c r="C69" s="402"/>
      <c r="D69" s="405"/>
      <c r="E69" s="407" t="s">
        <v>449</v>
      </c>
      <c r="F69" s="408"/>
      <c r="G69" s="410"/>
      <c r="H69" s="408"/>
      <c r="I69" s="412"/>
      <c r="J69" s="410"/>
      <c r="K69" s="412"/>
      <c r="L69" s="414"/>
      <c r="M69" s="416"/>
      <c r="N69" s="418"/>
      <c r="O69" s="495"/>
      <c r="P69" s="495"/>
      <c r="Q69" s="495"/>
      <c r="R69" s="405"/>
      <c r="S69" s="427"/>
      <c r="T69" s="420" t="s">
        <v>383</v>
      </c>
      <c r="U69" s="281" t="s">
        <v>491</v>
      </c>
      <c r="V69" s="473"/>
      <c r="W69" s="478"/>
      <c r="X69" s="487"/>
      <c r="Y69" s="473"/>
      <c r="Z69" s="478"/>
      <c r="AA69" s="483"/>
      <c r="AB69" s="487"/>
      <c r="AC69" s="473"/>
      <c r="AD69" s="478"/>
      <c r="AE69" s="483"/>
      <c r="AF69" s="483"/>
      <c r="AG69" s="487"/>
      <c r="AH69" s="473"/>
      <c r="AI69" s="478"/>
      <c r="AJ69" s="483"/>
      <c r="AK69" s="487"/>
      <c r="AL69" s="473"/>
      <c r="AM69" s="478"/>
      <c r="AN69" s="492"/>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row>
    <row r="70" spans="2:199" s="494" customFormat="1" ht="20.100000000000001" customHeight="1">
      <c r="B70" s="402"/>
      <c r="C70" s="402"/>
      <c r="D70" s="405"/>
      <c r="E70" s="407" t="s">
        <v>450</v>
      </c>
      <c r="F70" s="408"/>
      <c r="G70" s="410"/>
      <c r="H70" s="408"/>
      <c r="I70" s="412"/>
      <c r="J70" s="410"/>
      <c r="K70" s="412"/>
      <c r="L70" s="414"/>
      <c r="M70" s="416"/>
      <c r="N70" s="418"/>
      <c r="O70" s="495"/>
      <c r="P70" s="495"/>
      <c r="Q70" s="495"/>
      <c r="R70" s="405"/>
      <c r="S70" s="427"/>
      <c r="T70" s="420" t="s">
        <v>383</v>
      </c>
      <c r="U70" s="281" t="s">
        <v>96</v>
      </c>
      <c r="V70" s="473"/>
      <c r="W70" s="478"/>
      <c r="X70" s="487"/>
      <c r="Y70" s="473"/>
      <c r="Z70" s="478"/>
      <c r="AA70" s="483"/>
      <c r="AB70" s="487"/>
      <c r="AC70" s="473"/>
      <c r="AD70" s="478"/>
      <c r="AE70" s="483"/>
      <c r="AF70" s="483"/>
      <c r="AG70" s="487"/>
      <c r="AH70" s="473"/>
      <c r="AI70" s="478"/>
      <c r="AJ70" s="483"/>
      <c r="AK70" s="487"/>
      <c r="AL70" s="473"/>
      <c r="AM70" s="478"/>
      <c r="AN70" s="492"/>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row>
    <row r="71" spans="2:199" s="494" customFormat="1" ht="20.100000000000001" customHeight="1">
      <c r="B71" s="402"/>
      <c r="C71" s="402"/>
      <c r="D71" s="405"/>
      <c r="E71" s="407" t="s">
        <v>451</v>
      </c>
      <c r="F71" s="408"/>
      <c r="G71" s="410"/>
      <c r="H71" s="408"/>
      <c r="I71" s="412"/>
      <c r="J71" s="410"/>
      <c r="K71" s="412"/>
      <c r="L71" s="414"/>
      <c r="M71" s="416"/>
      <c r="N71" s="418"/>
      <c r="O71" s="495"/>
      <c r="P71" s="495"/>
      <c r="Q71" s="495"/>
      <c r="R71" s="405"/>
      <c r="S71" s="427"/>
      <c r="T71" s="420" t="s">
        <v>383</v>
      </c>
      <c r="U71" s="281" t="s">
        <v>96</v>
      </c>
      <c r="V71" s="473"/>
      <c r="W71" s="478"/>
      <c r="X71" s="487"/>
      <c r="Y71" s="473"/>
      <c r="Z71" s="478"/>
      <c r="AA71" s="483"/>
      <c r="AB71" s="487"/>
      <c r="AC71" s="473"/>
      <c r="AD71" s="478"/>
      <c r="AE71" s="483"/>
      <c r="AF71" s="483"/>
      <c r="AG71" s="487"/>
      <c r="AH71" s="473"/>
      <c r="AI71" s="478"/>
      <c r="AJ71" s="483"/>
      <c r="AK71" s="487"/>
      <c r="AL71" s="473"/>
      <c r="AM71" s="478"/>
      <c r="AN71" s="492"/>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row>
    <row r="72" spans="2:199" s="494" customFormat="1" ht="20.100000000000001" customHeight="1">
      <c r="B72" s="402"/>
      <c r="C72" s="402"/>
      <c r="D72" s="405"/>
      <c r="E72" s="407" t="s">
        <v>452</v>
      </c>
      <c r="F72" s="408"/>
      <c r="G72" s="410"/>
      <c r="H72" s="408"/>
      <c r="I72" s="412"/>
      <c r="J72" s="410"/>
      <c r="K72" s="412"/>
      <c r="L72" s="414"/>
      <c r="M72" s="416"/>
      <c r="N72" s="418"/>
      <c r="O72" s="495"/>
      <c r="P72" s="495"/>
      <c r="Q72" s="495"/>
      <c r="R72" s="405"/>
      <c r="S72" s="427"/>
      <c r="T72" s="420" t="s">
        <v>383</v>
      </c>
      <c r="U72" s="281" t="s">
        <v>491</v>
      </c>
      <c r="V72" s="473"/>
      <c r="W72" s="478"/>
      <c r="X72" s="487"/>
      <c r="Y72" s="473"/>
      <c r="Z72" s="478"/>
      <c r="AA72" s="483"/>
      <c r="AB72" s="487"/>
      <c r="AC72" s="473"/>
      <c r="AD72" s="478"/>
      <c r="AE72" s="483"/>
      <c r="AF72" s="483"/>
      <c r="AG72" s="487"/>
      <c r="AH72" s="473"/>
      <c r="AI72" s="478"/>
      <c r="AJ72" s="483"/>
      <c r="AK72" s="487"/>
      <c r="AL72" s="473"/>
      <c r="AM72" s="478"/>
      <c r="AN72" s="49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row>
    <row r="73" spans="2:199" s="494" customFormat="1" ht="20.100000000000001" customHeight="1">
      <c r="B73" s="402"/>
      <c r="C73" s="402"/>
      <c r="D73" s="405"/>
      <c r="E73" s="407" t="s">
        <v>459</v>
      </c>
      <c r="F73" s="408"/>
      <c r="G73" s="410"/>
      <c r="H73" s="408"/>
      <c r="I73" s="412"/>
      <c r="J73" s="410"/>
      <c r="K73" s="412"/>
      <c r="L73" s="414"/>
      <c r="M73" s="416"/>
      <c r="N73" s="418"/>
      <c r="O73" s="495"/>
      <c r="P73" s="495"/>
      <c r="Q73" s="495"/>
      <c r="R73" s="405"/>
      <c r="S73" s="427"/>
      <c r="T73" s="420" t="s">
        <v>383</v>
      </c>
      <c r="U73" s="281" t="s">
        <v>96</v>
      </c>
      <c r="V73" s="473"/>
      <c r="W73" s="478"/>
      <c r="X73" s="487"/>
      <c r="Y73" s="473"/>
      <c r="Z73" s="478"/>
      <c r="AA73" s="483"/>
      <c r="AB73" s="487"/>
      <c r="AC73" s="473"/>
      <c r="AD73" s="478"/>
      <c r="AE73" s="483"/>
      <c r="AF73" s="483"/>
      <c r="AG73" s="487"/>
      <c r="AH73" s="473"/>
      <c r="AI73" s="478"/>
      <c r="AJ73" s="483"/>
      <c r="AK73" s="487"/>
      <c r="AL73" s="473"/>
      <c r="AM73" s="478"/>
      <c r="AN73" s="492"/>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row>
    <row r="74" spans="2:199" s="494" customFormat="1" ht="20.100000000000001" customHeight="1">
      <c r="B74" s="402"/>
      <c r="C74" s="402"/>
      <c r="D74" s="405"/>
      <c r="E74" s="407" t="s">
        <v>432</v>
      </c>
      <c r="F74" s="408"/>
      <c r="G74" s="410"/>
      <c r="H74" s="408"/>
      <c r="I74" s="412"/>
      <c r="J74" s="410"/>
      <c r="K74" s="412"/>
      <c r="L74" s="414"/>
      <c r="M74" s="416"/>
      <c r="N74" s="418"/>
      <c r="O74" s="495"/>
      <c r="P74" s="495"/>
      <c r="Q74" s="495"/>
      <c r="R74" s="405"/>
      <c r="S74" s="427"/>
      <c r="T74" s="420" t="s">
        <v>383</v>
      </c>
      <c r="U74" s="281" t="s">
        <v>96</v>
      </c>
      <c r="V74" s="473"/>
      <c r="W74" s="478"/>
      <c r="X74" s="487"/>
      <c r="Y74" s="473"/>
      <c r="Z74" s="478"/>
      <c r="AA74" s="483"/>
      <c r="AB74" s="487"/>
      <c r="AC74" s="473"/>
      <c r="AD74" s="478"/>
      <c r="AE74" s="483"/>
      <c r="AF74" s="483"/>
      <c r="AG74" s="487"/>
      <c r="AH74" s="473"/>
      <c r="AI74" s="478"/>
      <c r="AJ74" s="483"/>
      <c r="AK74" s="487"/>
      <c r="AL74" s="473"/>
      <c r="AM74" s="478"/>
      <c r="AN74" s="492"/>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row>
    <row r="75" spans="2:199" s="494" customFormat="1" ht="20.100000000000001" customHeight="1">
      <c r="B75" s="402"/>
      <c r="C75" s="402"/>
      <c r="D75" s="405"/>
      <c r="E75" s="407" t="s">
        <v>460</v>
      </c>
      <c r="F75" s="408"/>
      <c r="G75" s="410"/>
      <c r="H75" s="408"/>
      <c r="I75" s="412"/>
      <c r="J75" s="410"/>
      <c r="K75" s="412"/>
      <c r="L75" s="414"/>
      <c r="M75" s="416"/>
      <c r="N75" s="418"/>
      <c r="O75" s="495"/>
      <c r="P75" s="495"/>
      <c r="Q75" s="495"/>
      <c r="R75" s="405"/>
      <c r="S75" s="427"/>
      <c r="T75" s="420" t="s">
        <v>383</v>
      </c>
      <c r="U75" s="281" t="s">
        <v>491</v>
      </c>
      <c r="V75" s="473"/>
      <c r="W75" s="478"/>
      <c r="X75" s="487"/>
      <c r="Y75" s="473"/>
      <c r="Z75" s="478"/>
      <c r="AA75" s="483"/>
      <c r="AB75" s="487"/>
      <c r="AC75" s="473"/>
      <c r="AD75" s="478"/>
      <c r="AE75" s="483"/>
      <c r="AF75" s="483"/>
      <c r="AG75" s="487"/>
      <c r="AH75" s="473"/>
      <c r="AI75" s="478"/>
      <c r="AJ75" s="483"/>
      <c r="AK75" s="487"/>
      <c r="AL75" s="473"/>
      <c r="AM75" s="478"/>
      <c r="AN75" s="492"/>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row>
    <row r="76" spans="2:199" s="494" customFormat="1" ht="20.100000000000001" customHeight="1">
      <c r="B76" s="402"/>
      <c r="C76" s="402"/>
      <c r="D76" s="405" t="s">
        <v>441</v>
      </c>
      <c r="E76" s="407" t="s">
        <v>461</v>
      </c>
      <c r="F76" s="408"/>
      <c r="G76" s="410"/>
      <c r="H76" s="408"/>
      <c r="I76" s="412"/>
      <c r="J76" s="410"/>
      <c r="K76" s="412"/>
      <c r="L76" s="414"/>
      <c r="M76" s="416"/>
      <c r="N76" s="418"/>
      <c r="O76" s="495"/>
      <c r="P76" s="495"/>
      <c r="Q76" s="495"/>
      <c r="R76" s="405"/>
      <c r="S76" s="427"/>
      <c r="T76" s="420" t="s">
        <v>383</v>
      </c>
      <c r="U76" s="281" t="s">
        <v>96</v>
      </c>
      <c r="V76" s="473"/>
      <c r="W76" s="478"/>
      <c r="X76" s="487"/>
      <c r="Y76" s="473"/>
      <c r="Z76" s="478"/>
      <c r="AA76" s="483"/>
      <c r="AB76" s="487"/>
      <c r="AC76" s="473"/>
      <c r="AD76" s="478"/>
      <c r="AE76" s="483"/>
      <c r="AF76" s="483"/>
      <c r="AG76" s="487"/>
      <c r="AH76" s="473"/>
      <c r="AI76" s="478"/>
      <c r="AJ76" s="483"/>
      <c r="AK76" s="487"/>
      <c r="AL76" s="473"/>
      <c r="AM76" s="478"/>
      <c r="AN76" s="492"/>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row>
    <row r="77" spans="2:199" s="494" customFormat="1" ht="20.100000000000001" customHeight="1">
      <c r="B77" s="402"/>
      <c r="C77" s="402"/>
      <c r="D77" s="405"/>
      <c r="E77" s="407" t="s">
        <v>462</v>
      </c>
      <c r="F77" s="408"/>
      <c r="G77" s="410"/>
      <c r="H77" s="408"/>
      <c r="I77" s="412"/>
      <c r="J77" s="410"/>
      <c r="K77" s="412"/>
      <c r="L77" s="414"/>
      <c r="M77" s="416"/>
      <c r="N77" s="418"/>
      <c r="O77" s="495"/>
      <c r="P77" s="495"/>
      <c r="Q77" s="495"/>
      <c r="R77" s="405"/>
      <c r="S77" s="427"/>
      <c r="T77" s="420" t="s">
        <v>383</v>
      </c>
      <c r="U77" s="281" t="s">
        <v>96</v>
      </c>
      <c r="V77" s="473"/>
      <c r="W77" s="478"/>
      <c r="X77" s="487"/>
      <c r="Y77" s="473"/>
      <c r="Z77" s="478"/>
      <c r="AA77" s="483"/>
      <c r="AB77" s="487"/>
      <c r="AC77" s="473"/>
      <c r="AD77" s="478"/>
      <c r="AE77" s="483"/>
      <c r="AF77" s="483"/>
      <c r="AG77" s="487"/>
      <c r="AH77" s="473"/>
      <c r="AI77" s="478"/>
      <c r="AJ77" s="483"/>
      <c r="AK77" s="487"/>
      <c r="AL77" s="473"/>
      <c r="AM77" s="478"/>
      <c r="AN77" s="492"/>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row>
    <row r="78" spans="2:199" customFormat="1" ht="20.100000000000001" customHeight="1">
      <c r="B78" s="402"/>
      <c r="C78" s="402"/>
      <c r="D78" s="405" t="str">
        <f>D59&amp;"-03"</f>
        <v>D0601-03</v>
      </c>
      <c r="E78" s="407" t="s">
        <v>352</v>
      </c>
      <c r="F78" s="408">
        <f>H61+1</f>
        <v>43074</v>
      </c>
      <c r="G78" s="410">
        <v>1</v>
      </c>
      <c r="H78" s="408">
        <v>43074</v>
      </c>
      <c r="I78" s="412">
        <v>43087</v>
      </c>
      <c r="J78" s="410">
        <v>1</v>
      </c>
      <c r="K78" s="412">
        <v>43087</v>
      </c>
      <c r="L78" s="414"/>
      <c r="M78" s="416">
        <v>1</v>
      </c>
      <c r="N78" s="418">
        <f>3/4</f>
        <v>0.75</v>
      </c>
      <c r="O78" s="418">
        <f t="shared" si="3"/>
        <v>0.75</v>
      </c>
      <c r="P78" s="418">
        <f t="shared" si="0"/>
        <v>0.75</v>
      </c>
      <c r="Q78" s="418">
        <f t="shared" si="4"/>
        <v>0.75</v>
      </c>
      <c r="R78" s="405"/>
      <c r="S78" s="427"/>
      <c r="T78" s="420" t="s">
        <v>383</v>
      </c>
      <c r="U78" s="493" t="s">
        <v>489</v>
      </c>
      <c r="V78" s="473"/>
      <c r="W78" s="478"/>
      <c r="X78" s="487"/>
      <c r="Y78" s="473"/>
      <c r="Z78" s="478"/>
      <c r="AA78" s="483"/>
      <c r="AB78" s="487"/>
      <c r="AC78" s="473"/>
      <c r="AD78" s="478"/>
      <c r="AE78" s="483"/>
      <c r="AF78" s="483"/>
      <c r="AG78" s="487"/>
      <c r="AH78" s="473"/>
      <c r="AI78" s="478"/>
      <c r="AJ78" s="483"/>
      <c r="AK78" s="487"/>
      <c r="AL78" s="473"/>
      <c r="AM78" s="478"/>
      <c r="AN78" s="492"/>
    </row>
    <row r="79" spans="2:199" customFormat="1" ht="20.100000000000001" customHeight="1">
      <c r="B79" s="402"/>
      <c r="C79" s="402"/>
      <c r="D79" s="405" t="str">
        <f>D59&amp;"-04"</f>
        <v>D0601-04</v>
      </c>
      <c r="E79" s="407" t="s">
        <v>353</v>
      </c>
      <c r="F79" s="408">
        <f>F78</f>
        <v>43074</v>
      </c>
      <c r="G79" s="410">
        <v>3</v>
      </c>
      <c r="H79" s="408">
        <v>43076</v>
      </c>
      <c r="I79" s="412">
        <v>43087</v>
      </c>
      <c r="J79" s="410">
        <v>3</v>
      </c>
      <c r="K79" s="412">
        <v>43089</v>
      </c>
      <c r="L79" s="414"/>
      <c r="M79" s="416">
        <v>1</v>
      </c>
      <c r="N79" s="418">
        <f>3/4</f>
        <v>0.75</v>
      </c>
      <c r="O79" s="418">
        <f t="shared" si="3"/>
        <v>2.25</v>
      </c>
      <c r="P79" s="418">
        <f t="shared" si="0"/>
        <v>2.25</v>
      </c>
      <c r="Q79" s="418">
        <f t="shared" si="4"/>
        <v>2.25</v>
      </c>
      <c r="R79" s="405"/>
      <c r="S79" s="427"/>
      <c r="T79" s="420" t="s">
        <v>383</v>
      </c>
      <c r="U79" s="493" t="s">
        <v>489</v>
      </c>
      <c r="V79" s="473"/>
      <c r="W79" s="478"/>
      <c r="X79" s="487"/>
      <c r="Y79" s="473"/>
      <c r="Z79" s="478"/>
      <c r="AA79" s="483"/>
      <c r="AB79" s="487"/>
      <c r="AC79" s="473"/>
      <c r="AD79" s="478"/>
      <c r="AE79" s="483"/>
      <c r="AF79" s="483"/>
      <c r="AG79" s="487"/>
      <c r="AH79" s="473"/>
      <c r="AI79" s="478"/>
      <c r="AJ79" s="483"/>
      <c r="AK79" s="487"/>
      <c r="AL79" s="473"/>
      <c r="AM79" s="478"/>
      <c r="AN79" s="492"/>
    </row>
    <row r="80" spans="2:199" customFormat="1" ht="20.100000000000001" customHeight="1">
      <c r="B80" s="402"/>
      <c r="C80" s="402"/>
      <c r="D80" s="405" t="str">
        <f>D59&amp;"-05"</f>
        <v>D0601-05</v>
      </c>
      <c r="E80" s="407" t="s">
        <v>354</v>
      </c>
      <c r="F80" s="408">
        <f>H79+1</f>
        <v>43077</v>
      </c>
      <c r="G80" s="410">
        <v>2</v>
      </c>
      <c r="H80" s="408">
        <v>43080</v>
      </c>
      <c r="I80" s="412">
        <v>43090</v>
      </c>
      <c r="J80" s="410">
        <v>1</v>
      </c>
      <c r="K80" s="412">
        <v>43090</v>
      </c>
      <c r="L80" s="414"/>
      <c r="M80" s="416">
        <v>1</v>
      </c>
      <c r="N80" s="418">
        <v>1</v>
      </c>
      <c r="O80" s="418">
        <f t="shared" si="3"/>
        <v>2</v>
      </c>
      <c r="P80" s="418">
        <f t="shared" si="0"/>
        <v>2</v>
      </c>
      <c r="Q80" s="418">
        <f t="shared" si="4"/>
        <v>2</v>
      </c>
      <c r="R80" s="405"/>
      <c r="S80" s="427"/>
      <c r="T80" s="420" t="s">
        <v>383</v>
      </c>
      <c r="U80" s="493" t="s">
        <v>489</v>
      </c>
      <c r="V80" s="473"/>
      <c r="W80" s="478"/>
      <c r="X80" s="487"/>
      <c r="Y80" s="473"/>
      <c r="Z80" s="478"/>
      <c r="AA80" s="483"/>
      <c r="AB80" s="487"/>
      <c r="AC80" s="473"/>
      <c r="AD80" s="478"/>
      <c r="AE80" s="483"/>
      <c r="AF80" s="483"/>
      <c r="AG80" s="487"/>
      <c r="AH80" s="473"/>
      <c r="AI80" s="478"/>
      <c r="AJ80" s="483"/>
      <c r="AK80" s="487"/>
      <c r="AL80" s="473"/>
      <c r="AM80" s="478"/>
      <c r="AN80" s="492"/>
    </row>
    <row r="81" spans="2:199" customFormat="1" ht="20.100000000000001" customHeight="1">
      <c r="B81" s="402"/>
      <c r="C81" s="424" t="s">
        <v>359</v>
      </c>
      <c r="D81" s="405" t="s">
        <v>372</v>
      </c>
      <c r="E81" s="407" t="str">
        <f>C81</f>
        <v>特売情報登録画面</v>
      </c>
      <c r="F81" s="408">
        <f>MIN(F82:F103)</f>
        <v>43061</v>
      </c>
      <c r="G81" s="410">
        <v>18</v>
      </c>
      <c r="H81" s="408">
        <f>MAX(H82:H103)</f>
        <v>43087</v>
      </c>
      <c r="I81" s="412">
        <v>43063</v>
      </c>
      <c r="J81" s="410">
        <v>19</v>
      </c>
      <c r="K81" s="412">
        <v>43089</v>
      </c>
      <c r="L81" s="414"/>
      <c r="M81" s="416"/>
      <c r="N81" s="418"/>
      <c r="O81" s="418">
        <f t="shared" si="3"/>
        <v>0</v>
      </c>
      <c r="P81" s="418">
        <f t="shared" si="0"/>
        <v>0</v>
      </c>
      <c r="Q81" s="418">
        <f t="shared" si="4"/>
        <v>0</v>
      </c>
      <c r="R81" s="405"/>
      <c r="S81" s="401" t="s">
        <v>386</v>
      </c>
      <c r="T81" s="420" t="s">
        <v>85</v>
      </c>
      <c r="U81" s="281" t="s">
        <v>487</v>
      </c>
      <c r="V81" s="473"/>
      <c r="W81" s="478"/>
      <c r="X81" s="487"/>
      <c r="Y81" s="473"/>
      <c r="Z81" s="478"/>
      <c r="AA81" s="483"/>
      <c r="AB81" s="487"/>
      <c r="AC81" s="473"/>
      <c r="AD81" s="478"/>
      <c r="AE81" s="483"/>
      <c r="AF81" s="483"/>
      <c r="AG81" s="487"/>
      <c r="AH81" s="473"/>
      <c r="AI81" s="478"/>
      <c r="AJ81" s="483"/>
      <c r="AK81" s="487"/>
      <c r="AL81" s="473"/>
      <c r="AM81" s="478"/>
      <c r="AN81" s="492"/>
    </row>
    <row r="82" spans="2:199" customFormat="1" ht="20.100000000000001" customHeight="1">
      <c r="B82" s="402"/>
      <c r="C82" s="402"/>
      <c r="D82" s="405" t="str">
        <f>D81&amp;"-01"</f>
        <v>D0701-01</v>
      </c>
      <c r="E82" s="407" t="s">
        <v>351</v>
      </c>
      <c r="F82" s="408">
        <f>H7+1</f>
        <v>43061</v>
      </c>
      <c r="G82" s="410">
        <v>2</v>
      </c>
      <c r="H82" s="408">
        <v>43063</v>
      </c>
      <c r="I82" s="412">
        <v>43063</v>
      </c>
      <c r="J82" s="410">
        <v>6</v>
      </c>
      <c r="K82" s="412">
        <v>43070</v>
      </c>
      <c r="L82" s="414"/>
      <c r="M82" s="416">
        <v>1</v>
      </c>
      <c r="N82" s="418">
        <v>1</v>
      </c>
      <c r="O82" s="418">
        <f t="shared" si="3"/>
        <v>2</v>
      </c>
      <c r="P82" s="418">
        <f t="shared" si="0"/>
        <v>2</v>
      </c>
      <c r="Q82" s="418">
        <f t="shared" si="4"/>
        <v>2</v>
      </c>
      <c r="R82" s="405"/>
      <c r="S82" s="428"/>
      <c r="T82" s="420" t="s">
        <v>384</v>
      </c>
      <c r="U82" s="493" t="s">
        <v>489</v>
      </c>
      <c r="V82" s="473"/>
      <c r="W82" s="478"/>
      <c r="X82" s="487"/>
      <c r="Y82" s="473"/>
      <c r="Z82" s="478"/>
      <c r="AA82" s="483"/>
      <c r="AB82" s="487"/>
      <c r="AC82" s="473"/>
      <c r="AD82" s="478"/>
      <c r="AE82" s="483"/>
      <c r="AF82" s="483"/>
      <c r="AG82" s="487"/>
      <c r="AH82" s="473"/>
      <c r="AI82" s="478"/>
      <c r="AJ82" s="483"/>
      <c r="AK82" s="487"/>
      <c r="AL82" s="473"/>
      <c r="AM82" s="478"/>
      <c r="AN82" s="492"/>
    </row>
    <row r="83" spans="2:199" customFormat="1" ht="20.100000000000001" customHeight="1">
      <c r="B83" s="402"/>
      <c r="C83" s="402"/>
      <c r="D83" s="405" t="str">
        <f>D81&amp;"-02"</f>
        <v>D0701-02</v>
      </c>
      <c r="E83" s="407" t="s">
        <v>347</v>
      </c>
      <c r="F83" s="408">
        <f>H82+1</f>
        <v>43064</v>
      </c>
      <c r="G83" s="410">
        <v>9</v>
      </c>
      <c r="H83" s="408">
        <v>43076</v>
      </c>
      <c r="I83" s="412">
        <v>43070</v>
      </c>
      <c r="J83" s="410">
        <v>11</v>
      </c>
      <c r="K83" s="412">
        <v>43084</v>
      </c>
      <c r="L83" s="414"/>
      <c r="M83" s="416">
        <v>1</v>
      </c>
      <c r="N83" s="418">
        <v>1</v>
      </c>
      <c r="O83" s="418">
        <f t="shared" si="3"/>
        <v>9</v>
      </c>
      <c r="P83" s="418">
        <f t="shared" si="0"/>
        <v>9</v>
      </c>
      <c r="Q83" s="418">
        <f t="shared" si="4"/>
        <v>9</v>
      </c>
      <c r="R83" s="405"/>
      <c r="S83" s="428"/>
      <c r="T83" s="420" t="s">
        <v>384</v>
      </c>
      <c r="U83" s="493" t="s">
        <v>489</v>
      </c>
      <c r="V83" s="473"/>
      <c r="W83" s="478"/>
      <c r="X83" s="487"/>
      <c r="Y83" s="473"/>
      <c r="Z83" s="478"/>
      <c r="AA83" s="483"/>
      <c r="AB83" s="487"/>
      <c r="AC83" s="473"/>
      <c r="AD83" s="478"/>
      <c r="AE83" s="483"/>
      <c r="AF83" s="483"/>
      <c r="AG83" s="487"/>
      <c r="AH83" s="473"/>
      <c r="AI83" s="478"/>
      <c r="AJ83" s="483"/>
      <c r="AK83" s="487"/>
      <c r="AL83" s="473"/>
      <c r="AM83" s="478"/>
      <c r="AN83" s="492"/>
    </row>
    <row r="84" spans="2:199" s="494" customFormat="1" ht="20.100000000000001" customHeight="1">
      <c r="B84" s="402"/>
      <c r="C84" s="402"/>
      <c r="D84" s="405"/>
      <c r="E84" s="407" t="s">
        <v>439</v>
      </c>
      <c r="F84" s="408"/>
      <c r="G84" s="410"/>
      <c r="H84" s="408"/>
      <c r="I84" s="412"/>
      <c r="J84" s="410"/>
      <c r="K84" s="412"/>
      <c r="L84" s="414"/>
      <c r="M84" s="416"/>
      <c r="N84" s="418"/>
      <c r="O84" s="495"/>
      <c r="P84" s="495"/>
      <c r="Q84" s="495"/>
      <c r="R84" s="405"/>
      <c r="S84" s="428"/>
      <c r="T84" s="420" t="s">
        <v>384</v>
      </c>
      <c r="U84" s="281" t="s">
        <v>492</v>
      </c>
      <c r="V84" s="473"/>
      <c r="W84" s="478"/>
      <c r="X84" s="487"/>
      <c r="Y84" s="473"/>
      <c r="Z84" s="478"/>
      <c r="AA84" s="483"/>
      <c r="AB84" s="487"/>
      <c r="AC84" s="473"/>
      <c r="AD84" s="478"/>
      <c r="AE84" s="483"/>
      <c r="AF84" s="483"/>
      <c r="AG84" s="487"/>
      <c r="AH84" s="473"/>
      <c r="AI84" s="478"/>
      <c r="AJ84" s="483"/>
      <c r="AK84" s="487"/>
      <c r="AL84" s="473"/>
      <c r="AM84" s="478"/>
      <c r="AN84" s="492"/>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row>
    <row r="85" spans="2:199" s="494" customFormat="1" ht="20.100000000000001" customHeight="1">
      <c r="B85" s="402"/>
      <c r="C85" s="402"/>
      <c r="D85" s="405"/>
      <c r="E85" s="407" t="s">
        <v>440</v>
      </c>
      <c r="F85" s="408"/>
      <c r="G85" s="410"/>
      <c r="H85" s="408"/>
      <c r="I85" s="412"/>
      <c r="J85" s="410"/>
      <c r="K85" s="412"/>
      <c r="L85" s="414"/>
      <c r="M85" s="416"/>
      <c r="N85" s="418"/>
      <c r="O85" s="495"/>
      <c r="P85" s="495"/>
      <c r="Q85" s="495"/>
      <c r="R85" s="405"/>
      <c r="S85" s="428"/>
      <c r="T85" s="420" t="s">
        <v>384</v>
      </c>
      <c r="U85" s="281" t="s">
        <v>493</v>
      </c>
      <c r="V85" s="473"/>
      <c r="W85" s="478"/>
      <c r="X85" s="487"/>
      <c r="Y85" s="473"/>
      <c r="Z85" s="478"/>
      <c r="AA85" s="483"/>
      <c r="AB85" s="487"/>
      <c r="AC85" s="473"/>
      <c r="AD85" s="478"/>
      <c r="AE85" s="483"/>
      <c r="AF85" s="483"/>
      <c r="AG85" s="487"/>
      <c r="AH85" s="473"/>
      <c r="AI85" s="478"/>
      <c r="AJ85" s="483"/>
      <c r="AK85" s="487"/>
      <c r="AL85" s="473"/>
      <c r="AM85" s="478"/>
      <c r="AN85" s="492"/>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row>
    <row r="86" spans="2:199" s="494" customFormat="1" ht="20.100000000000001" customHeight="1">
      <c r="B86" s="402"/>
      <c r="C86" s="402"/>
      <c r="D86" s="405" t="s">
        <v>441</v>
      </c>
      <c r="E86" s="407" t="s">
        <v>428</v>
      </c>
      <c r="F86" s="408"/>
      <c r="G86" s="410"/>
      <c r="H86" s="408"/>
      <c r="I86" s="412"/>
      <c r="J86" s="410"/>
      <c r="K86" s="412"/>
      <c r="L86" s="414"/>
      <c r="M86" s="416"/>
      <c r="N86" s="418"/>
      <c r="O86" s="495"/>
      <c r="P86" s="495"/>
      <c r="Q86" s="495"/>
      <c r="R86" s="405"/>
      <c r="S86" s="428"/>
      <c r="T86" s="420" t="s">
        <v>384</v>
      </c>
      <c r="U86" s="281" t="s">
        <v>96</v>
      </c>
      <c r="V86" s="473"/>
      <c r="W86" s="478"/>
      <c r="X86" s="487"/>
      <c r="Y86" s="473"/>
      <c r="Z86" s="478"/>
      <c r="AA86" s="483"/>
      <c r="AB86" s="487"/>
      <c r="AC86" s="473"/>
      <c r="AD86" s="478"/>
      <c r="AE86" s="483"/>
      <c r="AF86" s="483"/>
      <c r="AG86" s="487"/>
      <c r="AH86" s="473"/>
      <c r="AI86" s="478"/>
      <c r="AJ86" s="483"/>
      <c r="AK86" s="487"/>
      <c r="AL86" s="473"/>
      <c r="AM86" s="478"/>
      <c r="AN86" s="492"/>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row>
    <row r="87" spans="2:199" s="494" customFormat="1" ht="20.100000000000001" customHeight="1">
      <c r="B87" s="402"/>
      <c r="C87" s="402"/>
      <c r="D87" s="405"/>
      <c r="E87" s="407" t="s">
        <v>429</v>
      </c>
      <c r="F87" s="408"/>
      <c r="G87" s="410"/>
      <c r="H87" s="408"/>
      <c r="I87" s="412"/>
      <c r="J87" s="410"/>
      <c r="K87" s="412"/>
      <c r="L87" s="414"/>
      <c r="M87" s="416"/>
      <c r="N87" s="418"/>
      <c r="O87" s="495"/>
      <c r="P87" s="495"/>
      <c r="Q87" s="495"/>
      <c r="R87" s="405"/>
      <c r="S87" s="428"/>
      <c r="T87" s="420" t="s">
        <v>384</v>
      </c>
      <c r="U87" s="281" t="s">
        <v>492</v>
      </c>
      <c r="V87" s="473"/>
      <c r="W87" s="478"/>
      <c r="X87" s="487"/>
      <c r="Y87" s="473"/>
      <c r="Z87" s="478"/>
      <c r="AA87" s="483"/>
      <c r="AB87" s="487"/>
      <c r="AC87" s="473"/>
      <c r="AD87" s="478"/>
      <c r="AE87" s="483"/>
      <c r="AF87" s="483"/>
      <c r="AG87" s="487"/>
      <c r="AH87" s="473"/>
      <c r="AI87" s="478"/>
      <c r="AJ87" s="483"/>
      <c r="AK87" s="487"/>
      <c r="AL87" s="473"/>
      <c r="AM87" s="478"/>
      <c r="AN87" s="492"/>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row>
    <row r="88" spans="2:199" s="494" customFormat="1" ht="20.100000000000001" customHeight="1">
      <c r="B88" s="402"/>
      <c r="C88" s="402"/>
      <c r="D88" s="405"/>
      <c r="E88" s="407" t="s">
        <v>430</v>
      </c>
      <c r="F88" s="408"/>
      <c r="G88" s="410"/>
      <c r="H88" s="408"/>
      <c r="I88" s="412"/>
      <c r="J88" s="410"/>
      <c r="K88" s="412"/>
      <c r="L88" s="414"/>
      <c r="M88" s="416"/>
      <c r="N88" s="418"/>
      <c r="O88" s="495"/>
      <c r="P88" s="495"/>
      <c r="Q88" s="495"/>
      <c r="R88" s="405"/>
      <c r="S88" s="428"/>
      <c r="T88" s="420" t="s">
        <v>384</v>
      </c>
      <c r="U88" s="281" t="s">
        <v>493</v>
      </c>
      <c r="V88" s="473"/>
      <c r="W88" s="478"/>
      <c r="X88" s="487"/>
      <c r="Y88" s="473"/>
      <c r="Z88" s="478"/>
      <c r="AA88" s="483"/>
      <c r="AB88" s="487"/>
      <c r="AC88" s="473"/>
      <c r="AD88" s="478"/>
      <c r="AE88" s="483"/>
      <c r="AF88" s="483"/>
      <c r="AG88" s="487"/>
      <c r="AH88" s="473"/>
      <c r="AI88" s="478"/>
      <c r="AJ88" s="483"/>
      <c r="AK88" s="487"/>
      <c r="AL88" s="473"/>
      <c r="AM88" s="478"/>
      <c r="AN88" s="492"/>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row>
    <row r="89" spans="2:199" s="494" customFormat="1" ht="20.100000000000001" customHeight="1">
      <c r="B89" s="402"/>
      <c r="C89" s="402"/>
      <c r="D89" s="405"/>
      <c r="E89" s="407" t="s">
        <v>431</v>
      </c>
      <c r="F89" s="408"/>
      <c r="G89" s="410"/>
      <c r="H89" s="408"/>
      <c r="I89" s="412"/>
      <c r="J89" s="410"/>
      <c r="K89" s="412"/>
      <c r="L89" s="414"/>
      <c r="M89" s="416"/>
      <c r="N89" s="418"/>
      <c r="O89" s="495"/>
      <c r="P89" s="495"/>
      <c r="Q89" s="495"/>
      <c r="R89" s="405"/>
      <c r="S89" s="428"/>
      <c r="T89" s="420" t="s">
        <v>384</v>
      </c>
      <c r="U89" s="281" t="s">
        <v>96</v>
      </c>
      <c r="V89" s="473"/>
      <c r="W89" s="478"/>
      <c r="X89" s="487"/>
      <c r="Y89" s="473"/>
      <c r="Z89" s="478"/>
      <c r="AA89" s="483"/>
      <c r="AB89" s="487"/>
      <c r="AC89" s="473"/>
      <c r="AD89" s="478"/>
      <c r="AE89" s="483"/>
      <c r="AF89" s="483"/>
      <c r="AG89" s="487"/>
      <c r="AH89" s="473"/>
      <c r="AI89" s="478"/>
      <c r="AJ89" s="483"/>
      <c r="AK89" s="487"/>
      <c r="AL89" s="473"/>
      <c r="AM89" s="478"/>
      <c r="AN89" s="492"/>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row>
    <row r="90" spans="2:199" s="494" customFormat="1" ht="20.100000000000001" customHeight="1">
      <c r="B90" s="402"/>
      <c r="C90" s="402"/>
      <c r="D90" s="405"/>
      <c r="E90" s="407" t="s">
        <v>432</v>
      </c>
      <c r="F90" s="408"/>
      <c r="G90" s="410"/>
      <c r="H90" s="408"/>
      <c r="I90" s="412"/>
      <c r="J90" s="410"/>
      <c r="K90" s="412"/>
      <c r="L90" s="414"/>
      <c r="M90" s="416"/>
      <c r="N90" s="418"/>
      <c r="O90" s="495"/>
      <c r="P90" s="495"/>
      <c r="Q90" s="495"/>
      <c r="R90" s="405"/>
      <c r="S90" s="428"/>
      <c r="T90" s="420" t="s">
        <v>384</v>
      </c>
      <c r="U90" s="281" t="s">
        <v>96</v>
      </c>
      <c r="V90" s="473"/>
      <c r="W90" s="478"/>
      <c r="X90" s="487"/>
      <c r="Y90" s="473"/>
      <c r="Z90" s="478"/>
      <c r="AA90" s="483"/>
      <c r="AB90" s="487"/>
      <c r="AC90" s="473"/>
      <c r="AD90" s="478"/>
      <c r="AE90" s="483"/>
      <c r="AF90" s="483"/>
      <c r="AG90" s="487"/>
      <c r="AH90" s="473"/>
      <c r="AI90" s="478"/>
      <c r="AJ90" s="483"/>
      <c r="AK90" s="487"/>
      <c r="AL90" s="473"/>
      <c r="AM90" s="478"/>
      <c r="AN90" s="492"/>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row>
    <row r="91" spans="2:199" s="494" customFormat="1" ht="20.100000000000001" customHeight="1">
      <c r="B91" s="402"/>
      <c r="C91" s="402"/>
      <c r="D91" s="405"/>
      <c r="E91" s="407" t="s">
        <v>433</v>
      </c>
      <c r="F91" s="408"/>
      <c r="G91" s="410"/>
      <c r="H91" s="408"/>
      <c r="I91" s="412"/>
      <c r="J91" s="410"/>
      <c r="K91" s="412"/>
      <c r="L91" s="414"/>
      <c r="M91" s="416"/>
      <c r="N91" s="418"/>
      <c r="O91" s="495"/>
      <c r="P91" s="495"/>
      <c r="Q91" s="495"/>
      <c r="R91" s="405"/>
      <c r="S91" s="428"/>
      <c r="T91" s="420" t="s">
        <v>384</v>
      </c>
      <c r="U91" s="281" t="s">
        <v>493</v>
      </c>
      <c r="V91" s="473"/>
      <c r="W91" s="478"/>
      <c r="X91" s="487"/>
      <c r="Y91" s="473"/>
      <c r="Z91" s="478"/>
      <c r="AA91" s="483"/>
      <c r="AB91" s="487"/>
      <c r="AC91" s="473"/>
      <c r="AD91" s="478"/>
      <c r="AE91" s="483"/>
      <c r="AF91" s="483"/>
      <c r="AG91" s="487"/>
      <c r="AH91" s="473"/>
      <c r="AI91" s="478"/>
      <c r="AJ91" s="483"/>
      <c r="AK91" s="487"/>
      <c r="AL91" s="473"/>
      <c r="AM91" s="478"/>
      <c r="AN91" s="492"/>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row>
    <row r="92" spans="2:199" s="494" customFormat="1" ht="20.100000000000001" customHeight="1">
      <c r="B92" s="402"/>
      <c r="C92" s="402"/>
      <c r="D92" s="405"/>
      <c r="E92" s="407" t="s">
        <v>434</v>
      </c>
      <c r="F92" s="408"/>
      <c r="G92" s="410"/>
      <c r="H92" s="408"/>
      <c r="I92" s="412"/>
      <c r="J92" s="410"/>
      <c r="K92" s="412"/>
      <c r="L92" s="414"/>
      <c r="M92" s="416"/>
      <c r="N92" s="418"/>
      <c r="O92" s="495"/>
      <c r="P92" s="495"/>
      <c r="Q92" s="495"/>
      <c r="R92" s="405"/>
      <c r="S92" s="428"/>
      <c r="T92" s="420" t="s">
        <v>384</v>
      </c>
      <c r="U92" s="281" t="s">
        <v>96</v>
      </c>
      <c r="V92" s="473"/>
      <c r="W92" s="478"/>
      <c r="X92" s="487"/>
      <c r="Y92" s="473"/>
      <c r="Z92" s="478"/>
      <c r="AA92" s="483"/>
      <c r="AB92" s="487"/>
      <c r="AC92" s="473"/>
      <c r="AD92" s="478"/>
      <c r="AE92" s="483"/>
      <c r="AF92" s="483"/>
      <c r="AG92" s="487"/>
      <c r="AH92" s="473"/>
      <c r="AI92" s="478"/>
      <c r="AJ92" s="483"/>
      <c r="AK92" s="487"/>
      <c r="AL92" s="473"/>
      <c r="AM92" s="478"/>
      <c r="AN92" s="4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row>
    <row r="93" spans="2:199" s="494" customFormat="1" ht="20.100000000000001" customHeight="1">
      <c r="B93" s="402"/>
      <c r="C93" s="402"/>
      <c r="D93" s="405"/>
      <c r="E93" s="407" t="s">
        <v>435</v>
      </c>
      <c r="F93" s="408"/>
      <c r="G93" s="410"/>
      <c r="H93" s="408"/>
      <c r="I93" s="412"/>
      <c r="J93" s="410"/>
      <c r="K93" s="412"/>
      <c r="L93" s="414"/>
      <c r="M93" s="416"/>
      <c r="N93" s="418"/>
      <c r="O93" s="495"/>
      <c r="P93" s="495"/>
      <c r="Q93" s="495"/>
      <c r="R93" s="405"/>
      <c r="S93" s="428"/>
      <c r="T93" s="420" t="s">
        <v>384</v>
      </c>
      <c r="U93" s="281" t="s">
        <v>96</v>
      </c>
      <c r="V93" s="473"/>
      <c r="W93" s="478"/>
      <c r="X93" s="487"/>
      <c r="Y93" s="473"/>
      <c r="Z93" s="478"/>
      <c r="AA93" s="483"/>
      <c r="AB93" s="487"/>
      <c r="AC93" s="473"/>
      <c r="AD93" s="478"/>
      <c r="AE93" s="483"/>
      <c r="AF93" s="483"/>
      <c r="AG93" s="487"/>
      <c r="AH93" s="473"/>
      <c r="AI93" s="478"/>
      <c r="AJ93" s="483"/>
      <c r="AK93" s="487"/>
      <c r="AL93" s="473"/>
      <c r="AM93" s="478"/>
      <c r="AN93" s="492"/>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row>
    <row r="94" spans="2:199" s="494" customFormat="1" ht="20.100000000000001" customHeight="1">
      <c r="B94" s="402"/>
      <c r="C94" s="402"/>
      <c r="D94" s="405"/>
      <c r="E94" s="407" t="s">
        <v>436</v>
      </c>
      <c r="F94" s="408"/>
      <c r="G94" s="410"/>
      <c r="H94" s="408"/>
      <c r="I94" s="412"/>
      <c r="J94" s="410"/>
      <c r="K94" s="412"/>
      <c r="L94" s="414"/>
      <c r="M94" s="416"/>
      <c r="N94" s="418"/>
      <c r="O94" s="495"/>
      <c r="P94" s="495"/>
      <c r="Q94" s="495"/>
      <c r="R94" s="405"/>
      <c r="S94" s="428"/>
      <c r="T94" s="420" t="s">
        <v>384</v>
      </c>
      <c r="U94" s="281" t="s">
        <v>96</v>
      </c>
      <c r="V94" s="473"/>
      <c r="W94" s="478"/>
      <c r="X94" s="487"/>
      <c r="Y94" s="473"/>
      <c r="Z94" s="478"/>
      <c r="AA94" s="483"/>
      <c r="AB94" s="487"/>
      <c r="AC94" s="473"/>
      <c r="AD94" s="478"/>
      <c r="AE94" s="483"/>
      <c r="AF94" s="483"/>
      <c r="AG94" s="487"/>
      <c r="AH94" s="473"/>
      <c r="AI94" s="478"/>
      <c r="AJ94" s="483"/>
      <c r="AK94" s="487"/>
      <c r="AL94" s="473"/>
      <c r="AM94" s="478"/>
      <c r="AN94" s="492"/>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row>
    <row r="95" spans="2:199" s="494" customFormat="1" ht="20.100000000000001" customHeight="1">
      <c r="B95" s="402"/>
      <c r="C95" s="402"/>
      <c r="D95" s="405"/>
      <c r="E95" s="407" t="s">
        <v>437</v>
      </c>
      <c r="F95" s="408"/>
      <c r="G95" s="410"/>
      <c r="H95" s="408"/>
      <c r="I95" s="412"/>
      <c r="J95" s="410"/>
      <c r="K95" s="412"/>
      <c r="L95" s="414"/>
      <c r="M95" s="416"/>
      <c r="N95" s="418"/>
      <c r="O95" s="495"/>
      <c r="P95" s="495"/>
      <c r="Q95" s="495"/>
      <c r="R95" s="405"/>
      <c r="S95" s="428"/>
      <c r="T95" s="420" t="s">
        <v>384</v>
      </c>
      <c r="U95" s="281" t="s">
        <v>96</v>
      </c>
      <c r="V95" s="473"/>
      <c r="W95" s="478"/>
      <c r="X95" s="487"/>
      <c r="Y95" s="473"/>
      <c r="Z95" s="478"/>
      <c r="AA95" s="483"/>
      <c r="AB95" s="487"/>
      <c r="AC95" s="473"/>
      <c r="AD95" s="478"/>
      <c r="AE95" s="483"/>
      <c r="AF95" s="483"/>
      <c r="AG95" s="487"/>
      <c r="AH95" s="473"/>
      <c r="AI95" s="478"/>
      <c r="AJ95" s="483"/>
      <c r="AK95" s="487"/>
      <c r="AL95" s="473"/>
      <c r="AM95" s="478"/>
      <c r="AN95" s="492"/>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row>
    <row r="96" spans="2:199" s="494" customFormat="1" ht="20.100000000000001" customHeight="1">
      <c r="B96" s="402"/>
      <c r="C96" s="402"/>
      <c r="D96" s="405"/>
      <c r="E96" s="407" t="s">
        <v>438</v>
      </c>
      <c r="F96" s="408"/>
      <c r="G96" s="410"/>
      <c r="H96" s="408"/>
      <c r="I96" s="412"/>
      <c r="J96" s="410"/>
      <c r="K96" s="412"/>
      <c r="L96" s="414"/>
      <c r="M96" s="416"/>
      <c r="N96" s="418"/>
      <c r="O96" s="495"/>
      <c r="P96" s="495"/>
      <c r="Q96" s="495"/>
      <c r="R96" s="405"/>
      <c r="S96" s="428"/>
      <c r="T96" s="420" t="s">
        <v>384</v>
      </c>
      <c r="U96" s="281" t="s">
        <v>96</v>
      </c>
      <c r="V96" s="473"/>
      <c r="W96" s="478"/>
      <c r="X96" s="487"/>
      <c r="Y96" s="473"/>
      <c r="Z96" s="478"/>
      <c r="AA96" s="483"/>
      <c r="AB96" s="487"/>
      <c r="AC96" s="473"/>
      <c r="AD96" s="478"/>
      <c r="AE96" s="483"/>
      <c r="AF96" s="483"/>
      <c r="AG96" s="487"/>
      <c r="AH96" s="473"/>
      <c r="AI96" s="478"/>
      <c r="AJ96" s="483"/>
      <c r="AK96" s="487"/>
      <c r="AL96" s="473"/>
      <c r="AM96" s="478"/>
      <c r="AN96" s="492"/>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row>
    <row r="97" spans="2:199" s="494" customFormat="1" ht="20.100000000000001" customHeight="1">
      <c r="B97" s="402"/>
      <c r="C97" s="402"/>
      <c r="D97" s="405"/>
      <c r="E97" s="407" t="s">
        <v>442</v>
      </c>
      <c r="F97" s="408"/>
      <c r="G97" s="410"/>
      <c r="H97" s="408"/>
      <c r="I97" s="412"/>
      <c r="J97" s="410"/>
      <c r="K97" s="412"/>
      <c r="L97" s="414"/>
      <c r="M97" s="416"/>
      <c r="N97" s="418"/>
      <c r="O97" s="495"/>
      <c r="P97" s="495"/>
      <c r="Q97" s="495"/>
      <c r="R97" s="405"/>
      <c r="S97" s="428"/>
      <c r="T97" s="420" t="s">
        <v>384</v>
      </c>
      <c r="U97" s="281" t="s">
        <v>96</v>
      </c>
      <c r="V97" s="473"/>
      <c r="W97" s="478"/>
      <c r="X97" s="487"/>
      <c r="Y97" s="473"/>
      <c r="Z97" s="478"/>
      <c r="AA97" s="483"/>
      <c r="AB97" s="487"/>
      <c r="AC97" s="473"/>
      <c r="AD97" s="478"/>
      <c r="AE97" s="483"/>
      <c r="AF97" s="483"/>
      <c r="AG97" s="487"/>
      <c r="AH97" s="473"/>
      <c r="AI97" s="478"/>
      <c r="AJ97" s="483"/>
      <c r="AK97" s="487"/>
      <c r="AL97" s="473"/>
      <c r="AM97" s="478"/>
      <c r="AN97" s="492"/>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row>
    <row r="98" spans="2:199" s="494" customFormat="1" ht="20.100000000000001" customHeight="1">
      <c r="B98" s="402"/>
      <c r="C98" s="402"/>
      <c r="D98" s="405" t="s">
        <v>441</v>
      </c>
      <c r="E98" s="407" t="s">
        <v>428</v>
      </c>
      <c r="F98" s="408"/>
      <c r="G98" s="410"/>
      <c r="H98" s="408"/>
      <c r="I98" s="412"/>
      <c r="J98" s="410"/>
      <c r="K98" s="412"/>
      <c r="L98" s="414"/>
      <c r="M98" s="416"/>
      <c r="N98" s="418"/>
      <c r="O98" s="495"/>
      <c r="P98" s="495"/>
      <c r="Q98" s="495"/>
      <c r="R98" s="405"/>
      <c r="S98" s="428"/>
      <c r="T98" s="420" t="s">
        <v>384</v>
      </c>
      <c r="U98" s="281" t="s">
        <v>96</v>
      </c>
      <c r="V98" s="473"/>
      <c r="W98" s="478"/>
      <c r="X98" s="487"/>
      <c r="Y98" s="473"/>
      <c r="Z98" s="478"/>
      <c r="AA98" s="483"/>
      <c r="AB98" s="487"/>
      <c r="AC98" s="473"/>
      <c r="AD98" s="478"/>
      <c r="AE98" s="483"/>
      <c r="AF98" s="483"/>
      <c r="AG98" s="487"/>
      <c r="AH98" s="473"/>
      <c r="AI98" s="478"/>
      <c r="AJ98" s="483"/>
      <c r="AK98" s="487"/>
      <c r="AL98" s="473"/>
      <c r="AM98" s="478"/>
      <c r="AN98" s="492"/>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row>
    <row r="99" spans="2:199" s="494" customFormat="1" ht="20.100000000000001" customHeight="1">
      <c r="B99" s="402"/>
      <c r="C99" s="402"/>
      <c r="D99" s="405"/>
      <c r="E99" s="407" t="s">
        <v>430</v>
      </c>
      <c r="F99" s="408"/>
      <c r="G99" s="410"/>
      <c r="H99" s="408"/>
      <c r="I99" s="412"/>
      <c r="J99" s="410"/>
      <c r="K99" s="412"/>
      <c r="L99" s="414"/>
      <c r="M99" s="416"/>
      <c r="N99" s="418"/>
      <c r="O99" s="495"/>
      <c r="P99" s="495"/>
      <c r="Q99" s="495"/>
      <c r="R99" s="405"/>
      <c r="S99" s="428"/>
      <c r="T99" s="420" t="s">
        <v>384</v>
      </c>
      <c r="U99" s="281" t="s">
        <v>96</v>
      </c>
      <c r="V99" s="473"/>
      <c r="W99" s="478"/>
      <c r="X99" s="487"/>
      <c r="Y99" s="473"/>
      <c r="Z99" s="478"/>
      <c r="AA99" s="483"/>
      <c r="AB99" s="487"/>
      <c r="AC99" s="473"/>
      <c r="AD99" s="478"/>
      <c r="AE99" s="483"/>
      <c r="AF99" s="483"/>
      <c r="AG99" s="487"/>
      <c r="AH99" s="473"/>
      <c r="AI99" s="478"/>
      <c r="AJ99" s="483"/>
      <c r="AK99" s="487"/>
      <c r="AL99" s="473"/>
      <c r="AM99" s="478"/>
      <c r="AN99" s="492"/>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row>
    <row r="100" spans="2:199" s="494" customFormat="1" ht="20.100000000000001" customHeight="1">
      <c r="B100" s="402"/>
      <c r="C100" s="402"/>
      <c r="D100" s="405"/>
      <c r="E100" s="407" t="s">
        <v>443</v>
      </c>
      <c r="F100" s="408"/>
      <c r="G100" s="410"/>
      <c r="H100" s="408"/>
      <c r="I100" s="412"/>
      <c r="J100" s="410"/>
      <c r="K100" s="412"/>
      <c r="L100" s="414"/>
      <c r="M100" s="416"/>
      <c r="N100" s="418"/>
      <c r="O100" s="495"/>
      <c r="P100" s="495"/>
      <c r="Q100" s="495"/>
      <c r="R100" s="405"/>
      <c r="S100" s="428"/>
      <c r="T100" s="420" t="s">
        <v>384</v>
      </c>
      <c r="U100" s="281" t="s">
        <v>96</v>
      </c>
      <c r="V100" s="473"/>
      <c r="W100" s="478"/>
      <c r="X100" s="487"/>
      <c r="Y100" s="473"/>
      <c r="Z100" s="478"/>
      <c r="AA100" s="483"/>
      <c r="AB100" s="487"/>
      <c r="AC100" s="473"/>
      <c r="AD100" s="478"/>
      <c r="AE100" s="483"/>
      <c r="AF100" s="483"/>
      <c r="AG100" s="487"/>
      <c r="AH100" s="473"/>
      <c r="AI100" s="478"/>
      <c r="AJ100" s="483"/>
      <c r="AK100" s="487"/>
      <c r="AL100" s="473"/>
      <c r="AM100" s="478"/>
      <c r="AN100" s="492"/>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row>
    <row r="101" spans="2:199" customFormat="1" ht="20.100000000000001" customHeight="1">
      <c r="B101" s="402"/>
      <c r="C101" s="402"/>
      <c r="D101" s="405" t="str">
        <f>D81&amp;"-03"</f>
        <v>D0701-03</v>
      </c>
      <c r="E101" s="407" t="s">
        <v>352</v>
      </c>
      <c r="F101" s="408">
        <f>H83+1</f>
        <v>43077</v>
      </c>
      <c r="G101" s="410">
        <v>1</v>
      </c>
      <c r="H101" s="408">
        <v>43077</v>
      </c>
      <c r="I101" s="412">
        <v>43084</v>
      </c>
      <c r="J101" s="410">
        <v>2</v>
      </c>
      <c r="K101" s="412">
        <v>43087</v>
      </c>
      <c r="L101" s="414"/>
      <c r="M101" s="416">
        <v>1</v>
      </c>
      <c r="N101" s="418">
        <f>4/5</f>
        <v>0.8</v>
      </c>
      <c r="O101" s="418">
        <f t="shared" si="3"/>
        <v>0.8</v>
      </c>
      <c r="P101" s="418">
        <f t="shared" si="0"/>
        <v>0.8</v>
      </c>
      <c r="Q101" s="418">
        <f t="shared" si="4"/>
        <v>0.8</v>
      </c>
      <c r="R101" s="405"/>
      <c r="S101" s="428"/>
      <c r="T101" s="420" t="s">
        <v>384</v>
      </c>
      <c r="U101" s="493" t="s">
        <v>489</v>
      </c>
      <c r="V101" s="473"/>
      <c r="W101" s="478"/>
      <c r="X101" s="487"/>
      <c r="Y101" s="473"/>
      <c r="Z101" s="478"/>
      <c r="AA101" s="483"/>
      <c r="AB101" s="487"/>
      <c r="AC101" s="473"/>
      <c r="AD101" s="478"/>
      <c r="AE101" s="483"/>
      <c r="AF101" s="483"/>
      <c r="AG101" s="487"/>
      <c r="AH101" s="473"/>
      <c r="AI101" s="478"/>
      <c r="AJ101" s="483"/>
      <c r="AK101" s="487"/>
      <c r="AL101" s="473"/>
      <c r="AM101" s="478"/>
      <c r="AN101" s="492"/>
    </row>
    <row r="102" spans="2:199" customFormat="1" ht="20.100000000000001" customHeight="1">
      <c r="B102" s="402"/>
      <c r="C102" s="402"/>
      <c r="D102" s="405" t="str">
        <f>D81&amp;"-04"</f>
        <v>D0701-04</v>
      </c>
      <c r="E102" s="407" t="s">
        <v>353</v>
      </c>
      <c r="F102" s="408">
        <f>H83+1</f>
        <v>43077</v>
      </c>
      <c r="G102" s="410">
        <v>4</v>
      </c>
      <c r="H102" s="408">
        <v>43082</v>
      </c>
      <c r="I102" s="412">
        <v>43087</v>
      </c>
      <c r="J102" s="410">
        <v>2</v>
      </c>
      <c r="K102" s="412">
        <v>43088</v>
      </c>
      <c r="L102" s="414"/>
      <c r="M102" s="416">
        <v>1</v>
      </c>
      <c r="N102" s="418">
        <f>4/5</f>
        <v>0.8</v>
      </c>
      <c r="O102" s="418">
        <f t="shared" si="3"/>
        <v>3.2</v>
      </c>
      <c r="P102" s="418">
        <f t="shared" si="0"/>
        <v>3.2</v>
      </c>
      <c r="Q102" s="418">
        <f t="shared" si="4"/>
        <v>3.2</v>
      </c>
      <c r="R102" s="405"/>
      <c r="S102" s="428"/>
      <c r="T102" s="420" t="s">
        <v>384</v>
      </c>
      <c r="U102" s="493" t="s">
        <v>489</v>
      </c>
      <c r="V102" s="473"/>
      <c r="W102" s="478"/>
      <c r="X102" s="487"/>
      <c r="Y102" s="473"/>
      <c r="Z102" s="478"/>
      <c r="AA102" s="483"/>
      <c r="AB102" s="487"/>
      <c r="AC102" s="473"/>
      <c r="AD102" s="478"/>
      <c r="AE102" s="483"/>
      <c r="AF102" s="483"/>
      <c r="AG102" s="487"/>
      <c r="AH102" s="473"/>
      <c r="AI102" s="478"/>
      <c r="AJ102" s="483"/>
      <c r="AK102" s="487"/>
      <c r="AL102" s="473"/>
      <c r="AM102" s="478"/>
      <c r="AN102" s="492"/>
    </row>
    <row r="103" spans="2:199" customFormat="1" ht="20.100000000000001" customHeight="1">
      <c r="B103" s="402"/>
      <c r="C103" s="402"/>
      <c r="D103" s="405" t="str">
        <f>D81&amp;"-05"</f>
        <v>D0701-05</v>
      </c>
      <c r="E103" s="407" t="s">
        <v>354</v>
      </c>
      <c r="F103" s="408">
        <f>H102+1</f>
        <v>43083</v>
      </c>
      <c r="G103" s="410">
        <v>3</v>
      </c>
      <c r="H103" s="408">
        <v>43087</v>
      </c>
      <c r="I103" s="412">
        <v>43088</v>
      </c>
      <c r="J103" s="410">
        <v>2</v>
      </c>
      <c r="K103" s="412">
        <v>43089</v>
      </c>
      <c r="L103" s="414"/>
      <c r="M103" s="416">
        <v>1</v>
      </c>
      <c r="N103" s="418">
        <v>1</v>
      </c>
      <c r="O103" s="418">
        <f t="shared" si="3"/>
        <v>3</v>
      </c>
      <c r="P103" s="418">
        <f t="shared" si="0"/>
        <v>3</v>
      </c>
      <c r="Q103" s="418">
        <f t="shared" si="4"/>
        <v>3</v>
      </c>
      <c r="R103" s="405"/>
      <c r="S103" s="428"/>
      <c r="T103" s="420" t="s">
        <v>384</v>
      </c>
      <c r="U103" s="493" t="s">
        <v>489</v>
      </c>
      <c r="V103" s="473"/>
      <c r="W103" s="478"/>
      <c r="X103" s="487"/>
      <c r="Y103" s="473"/>
      <c r="Z103" s="478"/>
      <c r="AA103" s="483"/>
      <c r="AB103" s="487"/>
      <c r="AC103" s="473"/>
      <c r="AD103" s="478"/>
      <c r="AE103" s="483"/>
      <c r="AF103" s="483"/>
      <c r="AG103" s="487"/>
      <c r="AH103" s="473"/>
      <c r="AI103" s="478"/>
      <c r="AJ103" s="483"/>
      <c r="AK103" s="487"/>
      <c r="AL103" s="473"/>
      <c r="AM103" s="478"/>
      <c r="AN103" s="492"/>
    </row>
    <row r="104" spans="2:199" customFormat="1" ht="20.100000000000001" customHeight="1">
      <c r="B104" s="402"/>
      <c r="C104" s="424" t="s">
        <v>360</v>
      </c>
      <c r="D104" s="405" t="s">
        <v>373</v>
      </c>
      <c r="E104" s="407" t="str">
        <f>C104</f>
        <v>届け先按分比率設定画面</v>
      </c>
      <c r="F104" s="408">
        <f>MIN(F105:F116)</f>
        <v>43088</v>
      </c>
      <c r="G104" s="410">
        <v>11</v>
      </c>
      <c r="H104" s="408">
        <f>MAX(H105:H116)</f>
        <v>43112</v>
      </c>
      <c r="I104" s="412">
        <v>43088</v>
      </c>
      <c r="J104" s="410">
        <v>6</v>
      </c>
      <c r="K104" s="412">
        <v>43095</v>
      </c>
      <c r="L104" s="414"/>
      <c r="M104" s="416"/>
      <c r="N104" s="418"/>
      <c r="O104" s="418">
        <f t="shared" si="3"/>
        <v>0</v>
      </c>
      <c r="P104" s="418">
        <f t="shared" si="0"/>
        <v>0</v>
      </c>
      <c r="Q104" s="418">
        <f t="shared" si="4"/>
        <v>0</v>
      </c>
      <c r="R104" s="405"/>
      <c r="S104" s="401" t="s">
        <v>386</v>
      </c>
      <c r="T104" s="420" t="s">
        <v>85</v>
      </c>
      <c r="U104" s="281" t="s">
        <v>487</v>
      </c>
      <c r="V104" s="473"/>
      <c r="W104" s="478"/>
      <c r="X104" s="487"/>
      <c r="Y104" s="473"/>
      <c r="Z104" s="478"/>
      <c r="AA104" s="483"/>
      <c r="AB104" s="487"/>
      <c r="AC104" s="473"/>
      <c r="AD104" s="478"/>
      <c r="AE104" s="483"/>
      <c r="AF104" s="483"/>
      <c r="AG104" s="487"/>
      <c r="AH104" s="473"/>
      <c r="AI104" s="478"/>
      <c r="AJ104" s="483"/>
      <c r="AK104" s="487"/>
      <c r="AL104" s="473"/>
      <c r="AM104" s="478"/>
      <c r="AN104" s="492"/>
    </row>
    <row r="105" spans="2:199" customFormat="1" ht="20.100000000000001" customHeight="1">
      <c r="B105" s="402"/>
      <c r="C105" s="402"/>
      <c r="D105" s="405" t="str">
        <f>D104&amp;"-01"</f>
        <v>D0702-01</v>
      </c>
      <c r="E105" s="407" t="s">
        <v>351</v>
      </c>
      <c r="F105" s="408">
        <f>H103+1</f>
        <v>43088</v>
      </c>
      <c r="G105" s="410">
        <v>1</v>
      </c>
      <c r="H105" s="408">
        <v>43088</v>
      </c>
      <c r="I105" s="412">
        <v>43090</v>
      </c>
      <c r="J105" s="410">
        <v>1</v>
      </c>
      <c r="K105" s="412">
        <v>43090</v>
      </c>
      <c r="L105" s="414"/>
      <c r="M105" s="416">
        <v>1</v>
      </c>
      <c r="N105" s="418">
        <v>1</v>
      </c>
      <c r="O105" s="418">
        <f t="shared" si="3"/>
        <v>1</v>
      </c>
      <c r="P105" s="418">
        <f t="shared" si="0"/>
        <v>1</v>
      </c>
      <c r="Q105" s="418">
        <f t="shared" si="4"/>
        <v>1</v>
      </c>
      <c r="R105" s="405"/>
      <c r="S105" s="428"/>
      <c r="T105" s="420" t="s">
        <v>384</v>
      </c>
      <c r="U105" s="493" t="s">
        <v>489</v>
      </c>
      <c r="V105" s="473"/>
      <c r="W105" s="478"/>
      <c r="X105" s="487"/>
      <c r="Y105" s="473"/>
      <c r="Z105" s="478"/>
      <c r="AA105" s="483"/>
      <c r="AB105" s="487"/>
      <c r="AC105" s="473"/>
      <c r="AD105" s="478"/>
      <c r="AE105" s="483"/>
      <c r="AF105" s="483"/>
      <c r="AG105" s="487"/>
      <c r="AH105" s="473"/>
      <c r="AI105" s="478"/>
      <c r="AJ105" s="483"/>
      <c r="AK105" s="487"/>
      <c r="AL105" s="473"/>
      <c r="AM105" s="478"/>
      <c r="AN105" s="492"/>
    </row>
    <row r="106" spans="2:199" customFormat="1" ht="20.100000000000001" customHeight="1">
      <c r="B106" s="402"/>
      <c r="C106" s="402"/>
      <c r="D106" s="405" t="str">
        <f>D104&amp;"-02"</f>
        <v>D0702-02</v>
      </c>
      <c r="E106" s="407" t="s">
        <v>347</v>
      </c>
      <c r="F106" s="408">
        <f>H105+1</f>
        <v>43089</v>
      </c>
      <c r="G106" s="410">
        <v>6</v>
      </c>
      <c r="H106" s="408">
        <v>43096</v>
      </c>
      <c r="I106" s="412">
        <v>43090</v>
      </c>
      <c r="J106" s="410">
        <v>1</v>
      </c>
      <c r="K106" s="412">
        <v>43090</v>
      </c>
      <c r="L106" s="414"/>
      <c r="M106" s="416">
        <v>1</v>
      </c>
      <c r="N106" s="418">
        <v>1</v>
      </c>
      <c r="O106" s="418">
        <f t="shared" si="3"/>
        <v>6</v>
      </c>
      <c r="P106" s="418">
        <f t="shared" si="0"/>
        <v>6</v>
      </c>
      <c r="Q106" s="418">
        <f t="shared" si="4"/>
        <v>6</v>
      </c>
      <c r="R106" s="405"/>
      <c r="S106" s="428"/>
      <c r="T106" s="420" t="s">
        <v>384</v>
      </c>
      <c r="U106" s="493" t="s">
        <v>489</v>
      </c>
      <c r="V106" s="473"/>
      <c r="W106" s="478"/>
      <c r="X106" s="487"/>
      <c r="Y106" s="473"/>
      <c r="Z106" s="478"/>
      <c r="AA106" s="483"/>
      <c r="AB106" s="487"/>
      <c r="AC106" s="473"/>
      <c r="AD106" s="478"/>
      <c r="AE106" s="483"/>
      <c r="AF106" s="483"/>
      <c r="AG106" s="487"/>
      <c r="AH106" s="473"/>
      <c r="AI106" s="478"/>
      <c r="AJ106" s="483"/>
      <c r="AK106" s="487"/>
      <c r="AL106" s="473"/>
      <c r="AM106" s="478"/>
      <c r="AN106" s="492"/>
    </row>
    <row r="107" spans="2:199" s="494" customFormat="1" ht="20.100000000000001" customHeight="1">
      <c r="B107" s="402"/>
      <c r="C107" s="402"/>
      <c r="D107" s="405"/>
      <c r="E107" s="407" t="s">
        <v>439</v>
      </c>
      <c r="F107" s="408">
        <v>43090</v>
      </c>
      <c r="G107" s="410">
        <v>1</v>
      </c>
      <c r="H107" s="408">
        <v>43090</v>
      </c>
      <c r="I107" s="412">
        <v>43090</v>
      </c>
      <c r="J107" s="410">
        <v>1</v>
      </c>
      <c r="K107" s="412">
        <v>43090</v>
      </c>
      <c r="L107" s="414"/>
      <c r="M107" s="416">
        <v>1</v>
      </c>
      <c r="N107" s="418"/>
      <c r="O107" s="495"/>
      <c r="P107" s="495"/>
      <c r="Q107" s="495"/>
      <c r="R107" s="405"/>
      <c r="S107" s="428"/>
      <c r="T107" s="420" t="s">
        <v>384</v>
      </c>
      <c r="U107" s="493" t="s">
        <v>494</v>
      </c>
      <c r="V107" s="473"/>
      <c r="W107" s="478"/>
      <c r="X107" s="487"/>
      <c r="Y107" s="473"/>
      <c r="Z107" s="478"/>
      <c r="AA107" s="483"/>
      <c r="AB107" s="487"/>
      <c r="AC107" s="473"/>
      <c r="AD107" s="478"/>
      <c r="AE107" s="483"/>
      <c r="AF107" s="483"/>
      <c r="AG107" s="487"/>
      <c r="AH107" s="473"/>
      <c r="AI107" s="478"/>
      <c r="AJ107" s="483"/>
      <c r="AK107" s="487"/>
      <c r="AL107" s="473"/>
      <c r="AM107" s="478"/>
      <c r="AN107" s="492"/>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row>
    <row r="108" spans="2:199" s="494" customFormat="1" ht="20.100000000000001" customHeight="1">
      <c r="B108" s="402"/>
      <c r="C108" s="402"/>
      <c r="D108" s="405"/>
      <c r="E108" s="407" t="s">
        <v>440</v>
      </c>
      <c r="F108" s="408">
        <v>43091</v>
      </c>
      <c r="G108" s="410">
        <v>2</v>
      </c>
      <c r="H108" s="408">
        <v>43094</v>
      </c>
      <c r="I108" s="412">
        <v>43090</v>
      </c>
      <c r="J108" s="410">
        <v>2</v>
      </c>
      <c r="K108" s="412">
        <v>43091</v>
      </c>
      <c r="L108" s="414"/>
      <c r="M108" s="416">
        <v>1</v>
      </c>
      <c r="N108" s="418"/>
      <c r="O108" s="495"/>
      <c r="P108" s="495"/>
      <c r="Q108" s="495"/>
      <c r="R108" s="405"/>
      <c r="S108" s="428"/>
      <c r="T108" s="420" t="s">
        <v>384</v>
      </c>
      <c r="U108" s="493" t="s">
        <v>489</v>
      </c>
      <c r="V108" s="473"/>
      <c r="W108" s="478"/>
      <c r="X108" s="487"/>
      <c r="Y108" s="473"/>
      <c r="Z108" s="478"/>
      <c r="AA108" s="483"/>
      <c r="AB108" s="487"/>
      <c r="AC108" s="473"/>
      <c r="AD108" s="478"/>
      <c r="AE108" s="483"/>
      <c r="AF108" s="483"/>
      <c r="AG108" s="487"/>
      <c r="AH108" s="473"/>
      <c r="AI108" s="478"/>
      <c r="AJ108" s="483"/>
      <c r="AK108" s="487"/>
      <c r="AL108" s="473"/>
      <c r="AM108" s="478"/>
      <c r="AN108" s="492"/>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row>
    <row r="109" spans="2:199" s="494" customFormat="1" ht="20.100000000000001" customHeight="1">
      <c r="B109" s="402"/>
      <c r="C109" s="402"/>
      <c r="D109" s="405" t="s">
        <v>441</v>
      </c>
      <c r="E109" s="407" t="s">
        <v>428</v>
      </c>
      <c r="F109" s="408">
        <v>43090</v>
      </c>
      <c r="G109" s="410">
        <v>1</v>
      </c>
      <c r="H109" s="408">
        <v>43090</v>
      </c>
      <c r="I109" s="412">
        <v>43090</v>
      </c>
      <c r="J109" s="410">
        <v>1</v>
      </c>
      <c r="K109" s="412">
        <v>43090</v>
      </c>
      <c r="L109" s="414"/>
      <c r="M109" s="416">
        <v>1</v>
      </c>
      <c r="N109" s="418"/>
      <c r="O109" s="495"/>
      <c r="P109" s="495"/>
      <c r="Q109" s="495"/>
      <c r="R109" s="405"/>
      <c r="S109" s="428"/>
      <c r="T109" s="420" t="s">
        <v>384</v>
      </c>
      <c r="U109" s="493" t="s">
        <v>489</v>
      </c>
      <c r="V109" s="473"/>
      <c r="W109" s="478"/>
      <c r="X109" s="487"/>
      <c r="Y109" s="473"/>
      <c r="Z109" s="478"/>
      <c r="AA109" s="483"/>
      <c r="AB109" s="487"/>
      <c r="AC109" s="473"/>
      <c r="AD109" s="478"/>
      <c r="AE109" s="483"/>
      <c r="AF109" s="483"/>
      <c r="AG109" s="487"/>
      <c r="AH109" s="473"/>
      <c r="AI109" s="478"/>
      <c r="AJ109" s="483"/>
      <c r="AK109" s="487"/>
      <c r="AL109" s="473"/>
      <c r="AM109" s="478"/>
      <c r="AN109" s="492"/>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row>
    <row r="110" spans="2:199" s="494" customFormat="1" ht="20.100000000000001" customHeight="1">
      <c r="B110" s="402"/>
      <c r="C110" s="402"/>
      <c r="D110" s="405"/>
      <c r="E110" s="407" t="s">
        <v>430</v>
      </c>
      <c r="F110" s="408">
        <v>43090</v>
      </c>
      <c r="G110" s="410">
        <v>3</v>
      </c>
      <c r="H110" s="408">
        <v>43094</v>
      </c>
      <c r="I110" s="412">
        <v>43090</v>
      </c>
      <c r="J110" s="410">
        <v>2</v>
      </c>
      <c r="K110" s="412">
        <v>43091</v>
      </c>
      <c r="L110" s="414"/>
      <c r="M110" s="416">
        <v>1</v>
      </c>
      <c r="N110" s="418"/>
      <c r="O110" s="495"/>
      <c r="P110" s="495"/>
      <c r="Q110" s="495"/>
      <c r="R110" s="405"/>
      <c r="S110" s="428"/>
      <c r="T110" s="420" t="s">
        <v>384</v>
      </c>
      <c r="U110" s="493" t="s">
        <v>489</v>
      </c>
      <c r="V110" s="473"/>
      <c r="W110" s="478"/>
      <c r="X110" s="487"/>
      <c r="Y110" s="473"/>
      <c r="Z110" s="478"/>
      <c r="AA110" s="483"/>
      <c r="AB110" s="487"/>
      <c r="AC110" s="473"/>
      <c r="AD110" s="478"/>
      <c r="AE110" s="483"/>
      <c r="AF110" s="483"/>
      <c r="AG110" s="487"/>
      <c r="AH110" s="473"/>
      <c r="AI110" s="478"/>
      <c r="AJ110" s="483"/>
      <c r="AK110" s="487"/>
      <c r="AL110" s="473"/>
      <c r="AM110" s="478"/>
      <c r="AN110" s="492"/>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row>
    <row r="111" spans="2:199" s="494" customFormat="1" ht="20.100000000000001" customHeight="1">
      <c r="B111" s="402"/>
      <c r="C111" s="402"/>
      <c r="D111" s="405"/>
      <c r="E111" s="407" t="s">
        <v>431</v>
      </c>
      <c r="F111" s="408">
        <v>43094</v>
      </c>
      <c r="G111" s="410">
        <v>1</v>
      </c>
      <c r="H111" s="408">
        <v>43094</v>
      </c>
      <c r="I111" s="412">
        <v>43091</v>
      </c>
      <c r="J111" s="410">
        <v>1</v>
      </c>
      <c r="K111" s="412">
        <v>43091</v>
      </c>
      <c r="L111" s="414"/>
      <c r="M111" s="416">
        <v>1</v>
      </c>
      <c r="N111" s="418"/>
      <c r="O111" s="495"/>
      <c r="P111" s="495"/>
      <c r="Q111" s="495"/>
      <c r="R111" s="405"/>
      <c r="S111" s="428"/>
      <c r="T111" s="420" t="s">
        <v>384</v>
      </c>
      <c r="U111" s="493" t="s">
        <v>489</v>
      </c>
      <c r="V111" s="473"/>
      <c r="W111" s="478"/>
      <c r="X111" s="487"/>
      <c r="Y111" s="473"/>
      <c r="Z111" s="478"/>
      <c r="AA111" s="483"/>
      <c r="AB111" s="487"/>
      <c r="AC111" s="473"/>
      <c r="AD111" s="478"/>
      <c r="AE111" s="483"/>
      <c r="AF111" s="483"/>
      <c r="AG111" s="487"/>
      <c r="AH111" s="473"/>
      <c r="AI111" s="478"/>
      <c r="AJ111" s="483"/>
      <c r="AK111" s="487"/>
      <c r="AL111" s="473"/>
      <c r="AM111" s="478"/>
      <c r="AN111" s="492"/>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row>
    <row r="112" spans="2:199" s="494" customFormat="1" ht="20.100000000000001" customHeight="1">
      <c r="B112" s="402"/>
      <c r="C112" s="402"/>
      <c r="D112" s="405"/>
      <c r="E112" s="407" t="s">
        <v>432</v>
      </c>
      <c r="F112" s="408">
        <v>43095</v>
      </c>
      <c r="G112" s="410">
        <v>1</v>
      </c>
      <c r="H112" s="408">
        <v>43095</v>
      </c>
      <c r="I112" s="412">
        <v>43091</v>
      </c>
      <c r="J112" s="410">
        <v>1</v>
      </c>
      <c r="K112" s="412">
        <v>43091</v>
      </c>
      <c r="L112" s="414"/>
      <c r="M112" s="416">
        <v>1</v>
      </c>
      <c r="N112" s="418"/>
      <c r="O112" s="495"/>
      <c r="P112" s="495"/>
      <c r="Q112" s="495"/>
      <c r="R112" s="405"/>
      <c r="S112" s="428"/>
      <c r="T112" s="420" t="s">
        <v>384</v>
      </c>
      <c r="U112" s="493" t="s">
        <v>489</v>
      </c>
      <c r="V112" s="473"/>
      <c r="W112" s="478"/>
      <c r="X112" s="487"/>
      <c r="Y112" s="473"/>
      <c r="Z112" s="478"/>
      <c r="AA112" s="483"/>
      <c r="AB112" s="487"/>
      <c r="AC112" s="473"/>
      <c r="AD112" s="478"/>
      <c r="AE112" s="483"/>
      <c r="AF112" s="483"/>
      <c r="AG112" s="487"/>
      <c r="AH112" s="473"/>
      <c r="AI112" s="478"/>
      <c r="AJ112" s="483"/>
      <c r="AK112" s="487"/>
      <c r="AL112" s="473"/>
      <c r="AM112" s="478"/>
      <c r="AN112" s="49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row>
    <row r="113" spans="2:199" s="494" customFormat="1" ht="20.100000000000001" customHeight="1">
      <c r="B113" s="402"/>
      <c r="C113" s="402"/>
      <c r="D113" s="405"/>
      <c r="E113" s="407" t="s">
        <v>471</v>
      </c>
      <c r="F113" s="408">
        <v>43095</v>
      </c>
      <c r="G113" s="410">
        <v>1</v>
      </c>
      <c r="H113" s="408">
        <v>43095</v>
      </c>
      <c r="I113" s="412">
        <v>43091</v>
      </c>
      <c r="J113" s="410">
        <v>1</v>
      </c>
      <c r="K113" s="412">
        <v>43091</v>
      </c>
      <c r="L113" s="414"/>
      <c r="M113" s="416">
        <v>1</v>
      </c>
      <c r="N113" s="418"/>
      <c r="O113" s="495"/>
      <c r="P113" s="495"/>
      <c r="Q113" s="495"/>
      <c r="R113" s="405"/>
      <c r="S113" s="428"/>
      <c r="T113" s="420" t="s">
        <v>384</v>
      </c>
      <c r="U113" s="493" t="s">
        <v>489</v>
      </c>
      <c r="V113" s="473"/>
      <c r="W113" s="478"/>
      <c r="X113" s="487"/>
      <c r="Y113" s="473"/>
      <c r="Z113" s="478"/>
      <c r="AA113" s="483"/>
      <c r="AB113" s="487"/>
      <c r="AC113" s="473"/>
      <c r="AD113" s="478"/>
      <c r="AE113" s="483"/>
      <c r="AF113" s="483"/>
      <c r="AG113" s="487"/>
      <c r="AH113" s="473"/>
      <c r="AI113" s="478"/>
      <c r="AJ113" s="483"/>
      <c r="AK113" s="487"/>
      <c r="AL113" s="473"/>
      <c r="AM113" s="478"/>
      <c r="AN113" s="492"/>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row>
    <row r="114" spans="2:199" customFormat="1" ht="20.100000000000001" customHeight="1">
      <c r="B114" s="402"/>
      <c r="C114" s="402"/>
      <c r="D114" s="405" t="str">
        <f>D104&amp;"-03"</f>
        <v>D0702-03</v>
      </c>
      <c r="E114" s="407" t="s">
        <v>352</v>
      </c>
      <c r="F114" s="408">
        <f>H106+1</f>
        <v>43097</v>
      </c>
      <c r="G114" s="410">
        <v>1</v>
      </c>
      <c r="H114" s="408">
        <v>43109</v>
      </c>
      <c r="I114" s="412">
        <v>43094</v>
      </c>
      <c r="J114" s="410">
        <v>1</v>
      </c>
      <c r="K114" s="412">
        <v>43094</v>
      </c>
      <c r="L114" s="414"/>
      <c r="M114" s="416">
        <v>1</v>
      </c>
      <c r="N114" s="418">
        <f>2/3</f>
        <v>0.66666666666666663</v>
      </c>
      <c r="O114" s="418">
        <f t="shared" si="3"/>
        <v>0.66666666666666663</v>
      </c>
      <c r="P114" s="418">
        <f t="shared" si="0"/>
        <v>0.66666666666666663</v>
      </c>
      <c r="Q114" s="418">
        <f t="shared" si="4"/>
        <v>0.66666666666666663</v>
      </c>
      <c r="R114" s="405"/>
      <c r="S114" s="428"/>
      <c r="T114" s="420" t="s">
        <v>384</v>
      </c>
      <c r="U114" s="493" t="s">
        <v>489</v>
      </c>
      <c r="V114" s="473"/>
      <c r="W114" s="478"/>
      <c r="X114" s="487"/>
      <c r="Y114" s="473"/>
      <c r="Z114" s="478"/>
      <c r="AA114" s="483"/>
      <c r="AB114" s="487"/>
      <c r="AC114" s="473"/>
      <c r="AD114" s="478"/>
      <c r="AE114" s="483"/>
      <c r="AF114" s="483"/>
      <c r="AG114" s="487"/>
      <c r="AH114" s="473"/>
      <c r="AI114" s="478"/>
      <c r="AJ114" s="483"/>
      <c r="AK114" s="487"/>
      <c r="AL114" s="473"/>
      <c r="AM114" s="478"/>
      <c r="AN114" s="492"/>
    </row>
    <row r="115" spans="2:199" customFormat="1" ht="20.100000000000001" customHeight="1">
      <c r="B115" s="402"/>
      <c r="C115" s="402"/>
      <c r="D115" s="405" t="str">
        <f>D104&amp;"-04"</f>
        <v>D0702-04</v>
      </c>
      <c r="E115" s="407" t="s">
        <v>353</v>
      </c>
      <c r="F115" s="408">
        <f>H114</f>
        <v>43109</v>
      </c>
      <c r="G115" s="410">
        <v>2</v>
      </c>
      <c r="H115" s="408">
        <v>43110</v>
      </c>
      <c r="I115" s="412">
        <v>43094</v>
      </c>
      <c r="J115" s="410">
        <v>1</v>
      </c>
      <c r="K115" s="412">
        <v>43094</v>
      </c>
      <c r="L115" s="414"/>
      <c r="M115" s="416">
        <v>1</v>
      </c>
      <c r="N115" s="418">
        <f>2/3</f>
        <v>0.66666666666666663</v>
      </c>
      <c r="O115" s="418">
        <f t="shared" si="3"/>
        <v>1.3333333333333333</v>
      </c>
      <c r="P115" s="418">
        <f t="shared" si="0"/>
        <v>1.3333333333333333</v>
      </c>
      <c r="Q115" s="418">
        <f t="shared" si="4"/>
        <v>1.3333333333333333</v>
      </c>
      <c r="R115" s="405"/>
      <c r="S115" s="428"/>
      <c r="T115" s="420" t="s">
        <v>384</v>
      </c>
      <c r="U115" s="493" t="s">
        <v>489</v>
      </c>
      <c r="V115" s="473"/>
      <c r="W115" s="478"/>
      <c r="X115" s="487"/>
      <c r="Y115" s="473"/>
      <c r="Z115" s="478"/>
      <c r="AA115" s="483"/>
      <c r="AB115" s="487"/>
      <c r="AC115" s="473"/>
      <c r="AD115" s="478"/>
      <c r="AE115" s="483"/>
      <c r="AF115" s="483"/>
      <c r="AG115" s="487"/>
      <c r="AH115" s="473"/>
      <c r="AI115" s="478"/>
      <c r="AJ115" s="483"/>
      <c r="AK115" s="487"/>
      <c r="AL115" s="473"/>
      <c r="AM115" s="478"/>
      <c r="AN115" s="492"/>
    </row>
    <row r="116" spans="2:199" customFormat="1" ht="20.100000000000001" customHeight="1">
      <c r="B116" s="402"/>
      <c r="C116" s="402"/>
      <c r="D116" s="405" t="str">
        <f>D104&amp;"-05"</f>
        <v>D0702-05</v>
      </c>
      <c r="E116" s="407" t="s">
        <v>354</v>
      </c>
      <c r="F116" s="408">
        <f>H115+1</f>
        <v>43111</v>
      </c>
      <c r="G116" s="410">
        <v>2</v>
      </c>
      <c r="H116" s="408">
        <v>43112</v>
      </c>
      <c r="I116" s="412">
        <v>43095</v>
      </c>
      <c r="J116" s="410">
        <v>1</v>
      </c>
      <c r="K116" s="412">
        <v>43095</v>
      </c>
      <c r="L116" s="414"/>
      <c r="M116" s="416">
        <v>1</v>
      </c>
      <c r="N116" s="418">
        <v>1</v>
      </c>
      <c r="O116" s="418">
        <f t="shared" si="3"/>
        <v>2</v>
      </c>
      <c r="P116" s="418">
        <f t="shared" si="0"/>
        <v>2</v>
      </c>
      <c r="Q116" s="418">
        <f t="shared" si="4"/>
        <v>2</v>
      </c>
      <c r="R116" s="405"/>
      <c r="S116" s="428"/>
      <c r="T116" s="420" t="s">
        <v>384</v>
      </c>
      <c r="U116" s="493" t="s">
        <v>489</v>
      </c>
      <c r="V116" s="473"/>
      <c r="W116" s="478"/>
      <c r="X116" s="487"/>
      <c r="Y116" s="473"/>
      <c r="Z116" s="478"/>
      <c r="AA116" s="483"/>
      <c r="AB116" s="487"/>
      <c r="AC116" s="473"/>
      <c r="AD116" s="478"/>
      <c r="AE116" s="483"/>
      <c r="AF116" s="483"/>
      <c r="AG116" s="487"/>
      <c r="AH116" s="473"/>
      <c r="AI116" s="478"/>
      <c r="AJ116" s="483"/>
      <c r="AK116" s="487"/>
      <c r="AL116" s="473"/>
      <c r="AM116" s="478"/>
      <c r="AN116" s="492"/>
    </row>
    <row r="117" spans="2:199" customFormat="1" ht="20.100000000000001" customHeight="1">
      <c r="B117" s="402"/>
      <c r="C117" s="424" t="s">
        <v>361</v>
      </c>
      <c r="D117" s="405" t="s">
        <v>374</v>
      </c>
      <c r="E117" s="407" t="str">
        <f>C117</f>
        <v>カット情報入力画面</v>
      </c>
      <c r="F117" s="408">
        <f>MIN(F118:F127)</f>
        <v>43113</v>
      </c>
      <c r="G117" s="410">
        <v>3</v>
      </c>
      <c r="H117" s="408">
        <f>MAX(H118:H127)</f>
        <v>43117</v>
      </c>
      <c r="I117" s="412">
        <v>43096</v>
      </c>
      <c r="J117" s="410">
        <v>2</v>
      </c>
      <c r="K117" s="412">
        <v>43109</v>
      </c>
      <c r="L117" s="414"/>
      <c r="M117" s="416"/>
      <c r="N117" s="418"/>
      <c r="O117" s="418">
        <f t="shared" si="3"/>
        <v>0</v>
      </c>
      <c r="P117" s="418">
        <f t="shared" si="0"/>
        <v>0</v>
      </c>
      <c r="Q117" s="418">
        <f t="shared" si="4"/>
        <v>0</v>
      </c>
      <c r="R117" s="405"/>
      <c r="S117" s="401" t="s">
        <v>386</v>
      </c>
      <c r="T117" s="420" t="s">
        <v>85</v>
      </c>
      <c r="U117" s="281" t="s">
        <v>487</v>
      </c>
      <c r="V117" s="473"/>
      <c r="W117" s="478"/>
      <c r="X117" s="487"/>
      <c r="Y117" s="473"/>
      <c r="Z117" s="478"/>
      <c r="AA117" s="483"/>
      <c r="AB117" s="487"/>
      <c r="AC117" s="473"/>
      <c r="AD117" s="478"/>
      <c r="AE117" s="483"/>
      <c r="AF117" s="483"/>
      <c r="AG117" s="487"/>
      <c r="AH117" s="473"/>
      <c r="AI117" s="478"/>
      <c r="AJ117" s="483"/>
      <c r="AK117" s="487"/>
      <c r="AL117" s="473"/>
      <c r="AM117" s="478"/>
      <c r="AN117" s="492"/>
    </row>
    <row r="118" spans="2:199" customFormat="1" ht="20.100000000000001" customHeight="1">
      <c r="B118" s="402"/>
      <c r="C118" s="402"/>
      <c r="D118" s="405" t="str">
        <f>D117&amp;"-01"</f>
        <v>D0703-01</v>
      </c>
      <c r="E118" s="407" t="s">
        <v>351</v>
      </c>
      <c r="F118" s="408">
        <f>H116+1</f>
        <v>43113</v>
      </c>
      <c r="G118" s="410">
        <v>1</v>
      </c>
      <c r="H118" s="408">
        <v>43115</v>
      </c>
      <c r="I118" s="412">
        <v>43096</v>
      </c>
      <c r="J118" s="410">
        <v>1</v>
      </c>
      <c r="K118" s="412">
        <v>43096</v>
      </c>
      <c r="L118" s="414"/>
      <c r="M118" s="416">
        <v>1</v>
      </c>
      <c r="N118" s="418">
        <v>0.5</v>
      </c>
      <c r="O118" s="418">
        <f t="shared" si="3"/>
        <v>0.5</v>
      </c>
      <c r="P118" s="418">
        <f t="shared" si="0"/>
        <v>0.5</v>
      </c>
      <c r="Q118" s="418">
        <f t="shared" si="4"/>
        <v>0.5</v>
      </c>
      <c r="R118" s="405"/>
      <c r="S118" s="428"/>
      <c r="T118" s="420" t="s">
        <v>384</v>
      </c>
      <c r="U118" s="493" t="s">
        <v>489</v>
      </c>
      <c r="V118" s="473"/>
      <c r="W118" s="478"/>
      <c r="X118" s="487"/>
      <c r="Y118" s="473"/>
      <c r="Z118" s="478"/>
      <c r="AA118" s="483"/>
      <c r="AB118" s="487"/>
      <c r="AC118" s="473"/>
      <c r="AD118" s="478"/>
      <c r="AE118" s="483"/>
      <c r="AF118" s="483"/>
      <c r="AG118" s="487"/>
      <c r="AH118" s="473"/>
      <c r="AI118" s="478"/>
      <c r="AJ118" s="483"/>
      <c r="AK118" s="487"/>
      <c r="AL118" s="473"/>
      <c r="AM118" s="478"/>
      <c r="AN118" s="492"/>
    </row>
    <row r="119" spans="2:199" customFormat="1" ht="20.100000000000001" customHeight="1">
      <c r="B119" s="402"/>
      <c r="C119" s="402"/>
      <c r="D119" s="405" t="str">
        <f>D117&amp;"-02"</f>
        <v>D0703-02</v>
      </c>
      <c r="E119" s="407" t="s">
        <v>347</v>
      </c>
      <c r="F119" s="408">
        <f>F118</f>
        <v>43113</v>
      </c>
      <c r="G119" s="410">
        <v>1</v>
      </c>
      <c r="H119" s="408">
        <v>43115</v>
      </c>
      <c r="I119" s="412">
        <v>43096</v>
      </c>
      <c r="J119" s="410">
        <v>1</v>
      </c>
      <c r="K119" s="412">
        <v>43096</v>
      </c>
      <c r="L119" s="414"/>
      <c r="M119" s="416">
        <v>1</v>
      </c>
      <c r="N119" s="418">
        <v>0.5</v>
      </c>
      <c r="O119" s="418">
        <f t="shared" si="3"/>
        <v>0.5</v>
      </c>
      <c r="P119" s="418">
        <f t="shared" si="0"/>
        <v>0.5</v>
      </c>
      <c r="Q119" s="418">
        <f t="shared" si="4"/>
        <v>0.5</v>
      </c>
      <c r="R119" s="405"/>
      <c r="S119" s="428"/>
      <c r="T119" s="420" t="s">
        <v>384</v>
      </c>
      <c r="U119" s="493" t="s">
        <v>489</v>
      </c>
      <c r="V119" s="473"/>
      <c r="W119" s="478"/>
      <c r="X119" s="487"/>
      <c r="Y119" s="473"/>
      <c r="Z119" s="478"/>
      <c r="AA119" s="483"/>
      <c r="AB119" s="487"/>
      <c r="AC119" s="473"/>
      <c r="AD119" s="478"/>
      <c r="AE119" s="483"/>
      <c r="AF119" s="483"/>
      <c r="AG119" s="487"/>
      <c r="AH119" s="473"/>
      <c r="AI119" s="478"/>
      <c r="AJ119" s="483"/>
      <c r="AK119" s="487"/>
      <c r="AL119" s="473"/>
      <c r="AM119" s="478"/>
      <c r="AN119" s="492"/>
    </row>
    <row r="120" spans="2:199" customFormat="1" ht="20.100000000000001" customHeight="1">
      <c r="B120" s="402"/>
      <c r="C120" s="402"/>
      <c r="D120" s="405"/>
      <c r="E120" s="407" t="s">
        <v>439</v>
      </c>
      <c r="F120" s="408">
        <v>43115</v>
      </c>
      <c r="G120" s="410">
        <v>1</v>
      </c>
      <c r="H120" s="408">
        <v>43115</v>
      </c>
      <c r="I120" s="412">
        <v>43096</v>
      </c>
      <c r="J120" s="410">
        <v>1</v>
      </c>
      <c r="K120" s="412">
        <v>43096</v>
      </c>
      <c r="L120" s="414"/>
      <c r="M120" s="416">
        <v>1</v>
      </c>
      <c r="N120" s="418"/>
      <c r="O120" s="418"/>
      <c r="P120" s="418"/>
      <c r="Q120" s="418"/>
      <c r="R120" s="405"/>
      <c r="S120" s="428"/>
      <c r="T120" s="420" t="s">
        <v>384</v>
      </c>
      <c r="U120" s="493" t="s">
        <v>489</v>
      </c>
      <c r="V120" s="473"/>
      <c r="W120" s="478"/>
      <c r="X120" s="487"/>
      <c r="Y120" s="473"/>
      <c r="Z120" s="478"/>
      <c r="AA120" s="483"/>
      <c r="AB120" s="487"/>
      <c r="AC120" s="473"/>
      <c r="AD120" s="478"/>
      <c r="AE120" s="483"/>
      <c r="AF120" s="483"/>
      <c r="AG120" s="487"/>
      <c r="AH120" s="473"/>
      <c r="AI120" s="478"/>
      <c r="AJ120" s="483"/>
      <c r="AK120" s="487"/>
      <c r="AL120" s="473"/>
      <c r="AM120" s="478"/>
      <c r="AN120" s="492"/>
    </row>
    <row r="121" spans="2:199" customFormat="1" ht="20.100000000000001" customHeight="1">
      <c r="B121" s="402"/>
      <c r="C121" s="402"/>
      <c r="D121" s="405"/>
      <c r="E121" s="407" t="s">
        <v>440</v>
      </c>
      <c r="F121" s="408">
        <v>43115</v>
      </c>
      <c r="G121" s="410">
        <v>1</v>
      </c>
      <c r="H121" s="408">
        <v>43115</v>
      </c>
      <c r="I121" s="412">
        <v>43096</v>
      </c>
      <c r="J121" s="410">
        <v>1</v>
      </c>
      <c r="K121" s="412">
        <v>43096</v>
      </c>
      <c r="L121" s="414"/>
      <c r="M121" s="416">
        <v>1</v>
      </c>
      <c r="N121" s="418"/>
      <c r="O121" s="418"/>
      <c r="P121" s="418"/>
      <c r="Q121" s="418"/>
      <c r="R121" s="405"/>
      <c r="S121" s="428"/>
      <c r="T121" s="420" t="s">
        <v>384</v>
      </c>
      <c r="U121" s="493" t="s">
        <v>494</v>
      </c>
      <c r="V121" s="473"/>
      <c r="W121" s="478"/>
      <c r="X121" s="487"/>
      <c r="Y121" s="473"/>
      <c r="Z121" s="478"/>
      <c r="AA121" s="483"/>
      <c r="AB121" s="487"/>
      <c r="AC121" s="473"/>
      <c r="AD121" s="478"/>
      <c r="AE121" s="483"/>
      <c r="AF121" s="483"/>
      <c r="AG121" s="487"/>
      <c r="AH121" s="473"/>
      <c r="AI121" s="478"/>
      <c r="AJ121" s="483"/>
      <c r="AK121" s="487"/>
      <c r="AL121" s="473"/>
      <c r="AM121" s="478"/>
      <c r="AN121" s="492"/>
    </row>
    <row r="122" spans="2:199" customFormat="1" ht="20.100000000000001" customHeight="1">
      <c r="B122" s="402"/>
      <c r="C122" s="402"/>
      <c r="D122" s="405" t="s">
        <v>441</v>
      </c>
      <c r="E122" s="407" t="s">
        <v>428</v>
      </c>
      <c r="F122" s="408">
        <v>43115</v>
      </c>
      <c r="G122" s="410">
        <v>1</v>
      </c>
      <c r="H122" s="408">
        <v>43115</v>
      </c>
      <c r="I122" s="412">
        <v>43096</v>
      </c>
      <c r="J122" s="410">
        <v>1</v>
      </c>
      <c r="K122" s="412">
        <v>43096</v>
      </c>
      <c r="L122" s="414"/>
      <c r="M122" s="416">
        <v>1</v>
      </c>
      <c r="N122" s="418"/>
      <c r="O122" s="418"/>
      <c r="P122" s="418"/>
      <c r="Q122" s="418"/>
      <c r="R122" s="405"/>
      <c r="S122" s="428"/>
      <c r="T122" s="420" t="s">
        <v>384</v>
      </c>
      <c r="U122" s="493" t="s">
        <v>489</v>
      </c>
      <c r="V122" s="473"/>
      <c r="W122" s="478"/>
      <c r="X122" s="487"/>
      <c r="Y122" s="473"/>
      <c r="Z122" s="478"/>
      <c r="AA122" s="483"/>
      <c r="AB122" s="487"/>
      <c r="AC122" s="473"/>
      <c r="AD122" s="478"/>
      <c r="AE122" s="483"/>
      <c r="AF122" s="483"/>
      <c r="AG122" s="487"/>
      <c r="AH122" s="473"/>
      <c r="AI122" s="478"/>
      <c r="AJ122" s="483"/>
      <c r="AK122" s="487"/>
      <c r="AL122" s="473"/>
      <c r="AM122" s="478"/>
      <c r="AN122" s="492"/>
    </row>
    <row r="123" spans="2:199" customFormat="1" ht="20.100000000000001" customHeight="1">
      <c r="B123" s="402"/>
      <c r="C123" s="402"/>
      <c r="D123" s="405"/>
      <c r="E123" s="407" t="s">
        <v>430</v>
      </c>
      <c r="F123" s="408">
        <v>43115</v>
      </c>
      <c r="G123" s="410">
        <v>1</v>
      </c>
      <c r="H123" s="408">
        <v>43115</v>
      </c>
      <c r="I123" s="412">
        <v>43096</v>
      </c>
      <c r="J123" s="410">
        <v>1</v>
      </c>
      <c r="K123" s="412">
        <v>43096</v>
      </c>
      <c r="L123" s="414"/>
      <c r="M123" s="416">
        <v>1</v>
      </c>
      <c r="N123" s="418"/>
      <c r="O123" s="418"/>
      <c r="P123" s="418"/>
      <c r="Q123" s="418"/>
      <c r="R123" s="405"/>
      <c r="S123" s="428"/>
      <c r="T123" s="420" t="s">
        <v>384</v>
      </c>
      <c r="U123" s="493" t="s">
        <v>489</v>
      </c>
      <c r="V123" s="473"/>
      <c r="W123" s="478"/>
      <c r="X123" s="487"/>
      <c r="Y123" s="473"/>
      <c r="Z123" s="478"/>
      <c r="AA123" s="483"/>
      <c r="AB123" s="487"/>
      <c r="AC123" s="473"/>
      <c r="AD123" s="478"/>
      <c r="AE123" s="483"/>
      <c r="AF123" s="483"/>
      <c r="AG123" s="487"/>
      <c r="AH123" s="473"/>
      <c r="AI123" s="478"/>
      <c r="AJ123" s="483"/>
      <c r="AK123" s="487"/>
      <c r="AL123" s="473"/>
      <c r="AM123" s="478"/>
      <c r="AN123" s="492"/>
    </row>
    <row r="124" spans="2:199" customFormat="1" ht="20.100000000000001" customHeight="1">
      <c r="B124" s="402"/>
      <c r="C124" s="402"/>
      <c r="D124" s="405"/>
      <c r="E124" s="407" t="s">
        <v>432</v>
      </c>
      <c r="F124" s="408">
        <v>43115</v>
      </c>
      <c r="G124" s="410">
        <v>1</v>
      </c>
      <c r="H124" s="408">
        <v>43115</v>
      </c>
      <c r="I124" s="412">
        <v>43096</v>
      </c>
      <c r="J124" s="410">
        <v>1</v>
      </c>
      <c r="K124" s="412">
        <v>43096</v>
      </c>
      <c r="L124" s="414"/>
      <c r="M124" s="416">
        <v>1</v>
      </c>
      <c r="N124" s="418"/>
      <c r="O124" s="418"/>
      <c r="P124" s="418"/>
      <c r="Q124" s="418"/>
      <c r="R124" s="405"/>
      <c r="S124" s="428"/>
      <c r="T124" s="420" t="s">
        <v>384</v>
      </c>
      <c r="U124" s="493" t="s">
        <v>489</v>
      </c>
      <c r="V124" s="473"/>
      <c r="W124" s="478"/>
      <c r="X124" s="487"/>
      <c r="Y124" s="473"/>
      <c r="Z124" s="478"/>
      <c r="AA124" s="483"/>
      <c r="AB124" s="487"/>
      <c r="AC124" s="473"/>
      <c r="AD124" s="478"/>
      <c r="AE124" s="483"/>
      <c r="AF124" s="483"/>
      <c r="AG124" s="487"/>
      <c r="AH124" s="473"/>
      <c r="AI124" s="478"/>
      <c r="AJ124" s="483"/>
      <c r="AK124" s="487"/>
      <c r="AL124" s="473"/>
      <c r="AM124" s="478"/>
      <c r="AN124" s="492"/>
    </row>
    <row r="125" spans="2:199" customFormat="1" ht="20.100000000000001" customHeight="1">
      <c r="B125" s="402"/>
      <c r="C125" s="402"/>
      <c r="D125" s="405" t="str">
        <f>D117&amp;"-03"</f>
        <v>D0703-03</v>
      </c>
      <c r="E125" s="407" t="s">
        <v>352</v>
      </c>
      <c r="F125" s="408">
        <f>H119+1</f>
        <v>43116</v>
      </c>
      <c r="G125" s="410">
        <v>1</v>
      </c>
      <c r="H125" s="408">
        <v>43116</v>
      </c>
      <c r="I125" s="412">
        <v>43097</v>
      </c>
      <c r="J125" s="410"/>
      <c r="K125" s="412">
        <v>43097</v>
      </c>
      <c r="L125" s="414"/>
      <c r="M125" s="416">
        <v>1</v>
      </c>
      <c r="N125" s="418">
        <v>0.5</v>
      </c>
      <c r="O125" s="418">
        <f t="shared" si="3"/>
        <v>0.5</v>
      </c>
      <c r="P125" s="418">
        <f t="shared" si="0"/>
        <v>0.5</v>
      </c>
      <c r="Q125" s="418">
        <f t="shared" si="4"/>
        <v>0.5</v>
      </c>
      <c r="R125" s="405"/>
      <c r="S125" s="428"/>
      <c r="T125" s="420" t="s">
        <v>384</v>
      </c>
      <c r="U125" s="493" t="s">
        <v>489</v>
      </c>
      <c r="V125" s="473"/>
      <c r="W125" s="478"/>
      <c r="X125" s="487"/>
      <c r="Y125" s="473"/>
      <c r="Z125" s="478"/>
      <c r="AA125" s="483"/>
      <c r="AB125" s="487"/>
      <c r="AC125" s="473"/>
      <c r="AD125" s="478"/>
      <c r="AE125" s="483"/>
      <c r="AF125" s="483"/>
      <c r="AG125" s="487"/>
      <c r="AH125" s="473"/>
      <c r="AI125" s="478"/>
      <c r="AJ125" s="483"/>
      <c r="AK125" s="487"/>
      <c r="AL125" s="473"/>
      <c r="AM125" s="478"/>
      <c r="AN125" s="492"/>
    </row>
    <row r="126" spans="2:199" customFormat="1" ht="20.100000000000001" customHeight="1">
      <c r="B126" s="402"/>
      <c r="C126" s="402"/>
      <c r="D126" s="405" t="str">
        <f>D117&amp;"-04"</f>
        <v>D0703-04</v>
      </c>
      <c r="E126" s="407" t="s">
        <v>353</v>
      </c>
      <c r="F126" s="408">
        <f>H125</f>
        <v>43116</v>
      </c>
      <c r="G126" s="410">
        <v>1</v>
      </c>
      <c r="H126" s="408">
        <v>43116</v>
      </c>
      <c r="I126" s="412">
        <v>43097</v>
      </c>
      <c r="J126" s="410"/>
      <c r="K126" s="412">
        <v>43097</v>
      </c>
      <c r="L126" s="414"/>
      <c r="M126" s="416">
        <v>1</v>
      </c>
      <c r="N126" s="418">
        <v>0.5</v>
      </c>
      <c r="O126" s="418">
        <f t="shared" si="3"/>
        <v>0.5</v>
      </c>
      <c r="P126" s="418">
        <f t="shared" si="0"/>
        <v>0.5</v>
      </c>
      <c r="Q126" s="418">
        <f t="shared" si="4"/>
        <v>0.5</v>
      </c>
      <c r="R126" s="405"/>
      <c r="S126" s="428"/>
      <c r="T126" s="420" t="s">
        <v>384</v>
      </c>
      <c r="U126" s="493" t="s">
        <v>489</v>
      </c>
      <c r="V126" s="473"/>
      <c r="W126" s="478"/>
      <c r="X126" s="487"/>
      <c r="Y126" s="473"/>
      <c r="Z126" s="478"/>
      <c r="AA126" s="483"/>
      <c r="AB126" s="487"/>
      <c r="AC126" s="473"/>
      <c r="AD126" s="478"/>
      <c r="AE126" s="483"/>
      <c r="AF126" s="483"/>
      <c r="AG126" s="487"/>
      <c r="AH126" s="473"/>
      <c r="AI126" s="478"/>
      <c r="AJ126" s="483"/>
      <c r="AK126" s="487"/>
      <c r="AL126" s="473"/>
      <c r="AM126" s="478"/>
      <c r="AN126" s="492"/>
    </row>
    <row r="127" spans="2:199" customFormat="1" ht="20.100000000000001" customHeight="1">
      <c r="B127" s="402"/>
      <c r="C127" s="402"/>
      <c r="D127" s="405" t="str">
        <f>D117&amp;"-05"</f>
        <v>D0703-05</v>
      </c>
      <c r="E127" s="407" t="s">
        <v>354</v>
      </c>
      <c r="F127" s="408">
        <f>H126+1</f>
        <v>43117</v>
      </c>
      <c r="G127" s="410">
        <v>1</v>
      </c>
      <c r="H127" s="408">
        <v>43117</v>
      </c>
      <c r="I127" s="412">
        <v>43109</v>
      </c>
      <c r="J127" s="410">
        <v>1</v>
      </c>
      <c r="K127" s="412">
        <v>43109</v>
      </c>
      <c r="L127" s="414"/>
      <c r="M127" s="416">
        <v>1</v>
      </c>
      <c r="N127" s="418">
        <v>1</v>
      </c>
      <c r="O127" s="418">
        <f t="shared" si="3"/>
        <v>1</v>
      </c>
      <c r="P127" s="418">
        <f t="shared" si="0"/>
        <v>1</v>
      </c>
      <c r="Q127" s="418">
        <f t="shared" si="4"/>
        <v>1</v>
      </c>
      <c r="R127" s="405"/>
      <c r="S127" s="428"/>
      <c r="T127" s="420" t="s">
        <v>384</v>
      </c>
      <c r="U127" s="493" t="s">
        <v>489</v>
      </c>
      <c r="V127" s="473"/>
      <c r="W127" s="478"/>
      <c r="X127" s="487"/>
      <c r="Y127" s="473"/>
      <c r="Z127" s="478"/>
      <c r="AA127" s="483"/>
      <c r="AB127" s="487"/>
      <c r="AC127" s="473"/>
      <c r="AD127" s="478"/>
      <c r="AE127" s="483"/>
      <c r="AF127" s="483"/>
      <c r="AG127" s="487"/>
      <c r="AH127" s="473"/>
      <c r="AI127" s="478"/>
      <c r="AJ127" s="483"/>
      <c r="AK127" s="487"/>
      <c r="AL127" s="473"/>
      <c r="AM127" s="478"/>
      <c r="AN127" s="492"/>
    </row>
    <row r="128" spans="2:199" customFormat="1" ht="20.100000000000001" customHeight="1">
      <c r="B128" s="402"/>
      <c r="C128" s="423" t="s">
        <v>362</v>
      </c>
      <c r="D128" s="405" t="s">
        <v>375</v>
      </c>
      <c r="E128" s="407" t="str">
        <f>C128</f>
        <v>品目マスタ登録画面</v>
      </c>
      <c r="F128" s="408">
        <f>MIN(F129:F139)</f>
        <v>43088</v>
      </c>
      <c r="G128" s="410">
        <v>18</v>
      </c>
      <c r="H128" s="408">
        <f>MAX(H129:H139)</f>
        <v>43123</v>
      </c>
      <c r="I128" s="412"/>
      <c r="J128" s="410"/>
      <c r="K128" s="412"/>
      <c r="L128" s="414"/>
      <c r="M128" s="416"/>
      <c r="N128" s="418"/>
      <c r="O128" s="418">
        <f t="shared" si="3"/>
        <v>0</v>
      </c>
      <c r="P128" s="418">
        <f t="shared" si="0"/>
        <v>0</v>
      </c>
      <c r="Q128" s="418">
        <f t="shared" si="4"/>
        <v>0</v>
      </c>
      <c r="R128" s="405"/>
      <c r="S128" s="401" t="s">
        <v>386</v>
      </c>
      <c r="T128" s="420" t="s">
        <v>85</v>
      </c>
      <c r="U128" s="281" t="s">
        <v>487</v>
      </c>
      <c r="V128" s="473"/>
      <c r="W128" s="478"/>
      <c r="X128" s="487"/>
      <c r="Y128" s="473"/>
      <c r="Z128" s="478"/>
      <c r="AA128" s="483"/>
      <c r="AB128" s="487"/>
      <c r="AC128" s="473"/>
      <c r="AD128" s="478"/>
      <c r="AE128" s="483"/>
      <c r="AF128" s="483"/>
      <c r="AG128" s="487"/>
      <c r="AH128" s="473"/>
      <c r="AI128" s="478"/>
      <c r="AJ128" s="483"/>
      <c r="AK128" s="487"/>
      <c r="AL128" s="473"/>
      <c r="AM128" s="478"/>
      <c r="AN128" s="492"/>
    </row>
    <row r="129" spans="2:40" customFormat="1" ht="20.100000000000001" customHeight="1">
      <c r="B129" s="402"/>
      <c r="C129" s="402"/>
      <c r="D129" s="405" t="str">
        <f>D128&amp;"-01"</f>
        <v>D0307-01</v>
      </c>
      <c r="E129" s="407" t="s">
        <v>351</v>
      </c>
      <c r="F129" s="408">
        <v>43088</v>
      </c>
      <c r="G129" s="410">
        <v>1</v>
      </c>
      <c r="H129" s="408">
        <v>43088</v>
      </c>
      <c r="I129" s="412">
        <v>43088</v>
      </c>
      <c r="J129" s="410">
        <v>1</v>
      </c>
      <c r="K129" s="412">
        <v>43088</v>
      </c>
      <c r="L129" s="414"/>
      <c r="M129" s="416">
        <v>1</v>
      </c>
      <c r="N129" s="418">
        <f>4/5</f>
        <v>0.8</v>
      </c>
      <c r="O129" s="418">
        <f t="shared" si="3"/>
        <v>0.8</v>
      </c>
      <c r="P129" s="418">
        <f t="shared" si="0"/>
        <v>0.8</v>
      </c>
      <c r="Q129" s="418">
        <f t="shared" si="4"/>
        <v>0.8</v>
      </c>
      <c r="R129" s="405"/>
      <c r="S129" s="519"/>
      <c r="T129" s="420" t="s">
        <v>483</v>
      </c>
      <c r="U129" s="493" t="s">
        <v>489</v>
      </c>
      <c r="V129" s="473"/>
      <c r="W129" s="478"/>
      <c r="X129" s="487"/>
      <c r="Y129" s="473"/>
      <c r="Z129" s="478"/>
      <c r="AA129" s="483"/>
      <c r="AB129" s="487"/>
      <c r="AC129" s="473"/>
      <c r="AD129" s="478"/>
      <c r="AE129" s="483"/>
      <c r="AF129" s="483"/>
      <c r="AG129" s="487"/>
      <c r="AH129" s="473"/>
      <c r="AI129" s="478"/>
      <c r="AJ129" s="483"/>
      <c r="AK129" s="487"/>
      <c r="AL129" s="473"/>
      <c r="AM129" s="478"/>
      <c r="AN129" s="492"/>
    </row>
    <row r="130" spans="2:40" customFormat="1" ht="20.100000000000001" customHeight="1">
      <c r="B130" s="402"/>
      <c r="C130" s="402"/>
      <c r="D130" s="405" t="str">
        <f>D128&amp;"-02"</f>
        <v>D0307-02</v>
      </c>
      <c r="E130" s="407" t="s">
        <v>347</v>
      </c>
      <c r="F130" s="408">
        <f>F129</f>
        <v>43088</v>
      </c>
      <c r="G130" s="410">
        <v>8</v>
      </c>
      <c r="H130" s="408">
        <v>43109</v>
      </c>
      <c r="I130" s="412">
        <v>43088</v>
      </c>
      <c r="J130" s="410">
        <v>16</v>
      </c>
      <c r="K130" s="412">
        <v>43119</v>
      </c>
      <c r="L130" s="414"/>
      <c r="M130" s="416">
        <v>1</v>
      </c>
      <c r="N130" s="418">
        <f>4/5</f>
        <v>0.8</v>
      </c>
      <c r="O130" s="418">
        <f t="shared" si="3"/>
        <v>6.4</v>
      </c>
      <c r="P130" s="418">
        <f t="shared" si="0"/>
        <v>6.4</v>
      </c>
      <c r="Q130" s="418">
        <f t="shared" si="4"/>
        <v>6.4</v>
      </c>
      <c r="R130" s="405"/>
      <c r="S130" s="519"/>
      <c r="T130" s="420" t="s">
        <v>483</v>
      </c>
      <c r="U130" s="493" t="s">
        <v>489</v>
      </c>
      <c r="V130" s="473"/>
      <c r="W130" s="478"/>
      <c r="X130" s="487"/>
      <c r="Y130" s="473"/>
      <c r="Z130" s="478"/>
      <c r="AA130" s="483"/>
      <c r="AB130" s="487"/>
      <c r="AC130" s="473"/>
      <c r="AD130" s="478"/>
      <c r="AE130" s="483"/>
      <c r="AF130" s="483"/>
      <c r="AG130" s="487"/>
      <c r="AH130" s="473"/>
      <c r="AI130" s="478"/>
      <c r="AJ130" s="483"/>
      <c r="AK130" s="487"/>
      <c r="AL130" s="473"/>
      <c r="AM130" s="478"/>
      <c r="AN130" s="492"/>
    </row>
    <row r="131" spans="2:40" customFormat="1" ht="20.100000000000001" customHeight="1">
      <c r="B131" s="402"/>
      <c r="C131" s="402"/>
      <c r="D131" s="405"/>
      <c r="E131" s="407" t="s">
        <v>439</v>
      </c>
      <c r="F131" s="408">
        <v>43088</v>
      </c>
      <c r="G131" s="410">
        <v>1</v>
      </c>
      <c r="H131" s="408">
        <v>43088</v>
      </c>
      <c r="I131" s="412">
        <v>43088</v>
      </c>
      <c r="J131" s="410">
        <v>1</v>
      </c>
      <c r="K131" s="412">
        <v>43088</v>
      </c>
      <c r="L131" s="414"/>
      <c r="M131" s="416">
        <v>1</v>
      </c>
      <c r="N131" s="418"/>
      <c r="O131" s="418"/>
      <c r="P131" s="418"/>
      <c r="Q131" s="418"/>
      <c r="R131" s="405"/>
      <c r="S131" s="519"/>
      <c r="T131" s="420" t="s">
        <v>483</v>
      </c>
      <c r="U131" s="493" t="s">
        <v>489</v>
      </c>
      <c r="V131" s="473"/>
      <c r="W131" s="478"/>
      <c r="X131" s="487"/>
      <c r="Y131" s="473"/>
      <c r="Z131" s="478"/>
      <c r="AA131" s="483"/>
      <c r="AB131" s="487"/>
      <c r="AC131" s="473"/>
      <c r="AD131" s="478"/>
      <c r="AE131" s="483"/>
      <c r="AF131" s="483"/>
      <c r="AG131" s="487"/>
      <c r="AH131" s="473"/>
      <c r="AI131" s="478"/>
      <c r="AJ131" s="483"/>
      <c r="AK131" s="487"/>
      <c r="AL131" s="473"/>
      <c r="AM131" s="478"/>
      <c r="AN131" s="492"/>
    </row>
    <row r="132" spans="2:40" customFormat="1" ht="20.100000000000001" customHeight="1">
      <c r="B132" s="402"/>
      <c r="C132" s="402"/>
      <c r="D132" s="405"/>
      <c r="E132" s="407" t="s">
        <v>440</v>
      </c>
      <c r="F132" s="408">
        <v>43088</v>
      </c>
      <c r="G132" s="410">
        <v>6</v>
      </c>
      <c r="H132" s="408">
        <v>43095</v>
      </c>
      <c r="I132" s="412">
        <v>43090</v>
      </c>
      <c r="J132" s="410">
        <v>4</v>
      </c>
      <c r="K132" s="412">
        <v>43095</v>
      </c>
      <c r="L132" s="414"/>
      <c r="M132" s="416">
        <v>1</v>
      </c>
      <c r="N132" s="418"/>
      <c r="O132" s="418"/>
      <c r="P132" s="418"/>
      <c r="Q132" s="418"/>
      <c r="R132" s="405"/>
      <c r="S132" s="519"/>
      <c r="T132" s="420" t="s">
        <v>483</v>
      </c>
      <c r="U132" s="493" t="s">
        <v>495</v>
      </c>
      <c r="V132" s="473"/>
      <c r="W132" s="478"/>
      <c r="X132" s="487"/>
      <c r="Y132" s="473"/>
      <c r="Z132" s="478"/>
      <c r="AA132" s="483"/>
      <c r="AB132" s="487"/>
      <c r="AC132" s="473"/>
      <c r="AD132" s="478"/>
      <c r="AE132" s="483"/>
      <c r="AF132" s="483"/>
      <c r="AG132" s="487"/>
      <c r="AH132" s="473"/>
      <c r="AI132" s="478"/>
      <c r="AJ132" s="483"/>
      <c r="AK132" s="487"/>
      <c r="AL132" s="473"/>
      <c r="AM132" s="478"/>
      <c r="AN132" s="492"/>
    </row>
    <row r="133" spans="2:40" customFormat="1" ht="20.100000000000001" customHeight="1">
      <c r="B133" s="402"/>
      <c r="C133" s="402"/>
      <c r="D133" s="405" t="s">
        <v>441</v>
      </c>
      <c r="E133" s="407" t="s">
        <v>428</v>
      </c>
      <c r="F133" s="408">
        <v>43088</v>
      </c>
      <c r="G133" s="410">
        <v>1</v>
      </c>
      <c r="H133" s="408">
        <v>43088</v>
      </c>
      <c r="I133" s="412">
        <v>43088</v>
      </c>
      <c r="J133" s="410">
        <v>1</v>
      </c>
      <c r="K133" s="412">
        <v>43088</v>
      </c>
      <c r="L133" s="414"/>
      <c r="M133" s="416">
        <v>1</v>
      </c>
      <c r="N133" s="418"/>
      <c r="O133" s="418"/>
      <c r="P133" s="418"/>
      <c r="Q133" s="418"/>
      <c r="R133" s="405"/>
      <c r="S133" s="519"/>
      <c r="T133" s="420" t="s">
        <v>483</v>
      </c>
      <c r="U133" s="493" t="s">
        <v>489</v>
      </c>
      <c r="V133" s="473"/>
      <c r="W133" s="478"/>
      <c r="X133" s="487"/>
      <c r="Y133" s="473"/>
      <c r="Z133" s="478"/>
      <c r="AA133" s="483"/>
      <c r="AB133" s="487"/>
      <c r="AC133" s="473"/>
      <c r="AD133" s="478"/>
      <c r="AE133" s="483"/>
      <c r="AF133" s="483"/>
      <c r="AG133" s="487"/>
      <c r="AH133" s="473"/>
      <c r="AI133" s="478"/>
      <c r="AJ133" s="483"/>
      <c r="AK133" s="487"/>
      <c r="AL133" s="473"/>
      <c r="AM133" s="478"/>
      <c r="AN133" s="492"/>
    </row>
    <row r="134" spans="2:40" customFormat="1" ht="20.100000000000001" customHeight="1">
      <c r="B134" s="402"/>
      <c r="C134" s="402"/>
      <c r="D134" s="405"/>
      <c r="E134" s="407" t="s">
        <v>430</v>
      </c>
      <c r="F134" s="408">
        <v>43095</v>
      </c>
      <c r="G134" s="410">
        <v>1</v>
      </c>
      <c r="H134" s="408">
        <v>43095</v>
      </c>
      <c r="I134" s="412">
        <v>43090</v>
      </c>
      <c r="J134" s="410">
        <v>4</v>
      </c>
      <c r="K134" s="412">
        <v>43095</v>
      </c>
      <c r="L134" s="414"/>
      <c r="M134" s="416">
        <v>1</v>
      </c>
      <c r="N134" s="418"/>
      <c r="O134" s="418"/>
      <c r="P134" s="418"/>
      <c r="Q134" s="418"/>
      <c r="R134" s="405"/>
      <c r="S134" s="519"/>
      <c r="T134" s="420" t="s">
        <v>483</v>
      </c>
      <c r="U134" s="493" t="s">
        <v>489</v>
      </c>
      <c r="V134" s="473"/>
      <c r="W134" s="478"/>
      <c r="X134" s="487"/>
      <c r="Y134" s="473"/>
      <c r="Z134" s="478"/>
      <c r="AA134" s="483"/>
      <c r="AB134" s="487"/>
      <c r="AC134" s="473"/>
      <c r="AD134" s="478"/>
      <c r="AE134" s="483"/>
      <c r="AF134" s="483"/>
      <c r="AG134" s="487"/>
      <c r="AH134" s="473"/>
      <c r="AI134" s="478"/>
      <c r="AJ134" s="483"/>
      <c r="AK134" s="487"/>
      <c r="AL134" s="473"/>
      <c r="AM134" s="478"/>
      <c r="AN134" s="492"/>
    </row>
    <row r="135" spans="2:40" customFormat="1" ht="20.100000000000001" customHeight="1">
      <c r="B135" s="402"/>
      <c r="C135" s="402"/>
      <c r="D135" s="405"/>
      <c r="E135" s="407" t="s">
        <v>473</v>
      </c>
      <c r="F135" s="408">
        <v>43109</v>
      </c>
      <c r="G135" s="410">
        <v>1</v>
      </c>
      <c r="H135" s="408">
        <v>43109</v>
      </c>
      <c r="I135" s="412">
        <v>43460</v>
      </c>
      <c r="J135" s="410"/>
      <c r="K135" s="412">
        <v>43109</v>
      </c>
      <c r="L135" s="414"/>
      <c r="M135" s="416">
        <v>1</v>
      </c>
      <c r="N135" s="418"/>
      <c r="O135" s="418"/>
      <c r="P135" s="418"/>
      <c r="Q135" s="418"/>
      <c r="R135" s="405"/>
      <c r="S135" s="519"/>
      <c r="T135" s="420" t="s">
        <v>483</v>
      </c>
      <c r="U135" s="493" t="s">
        <v>489</v>
      </c>
      <c r="V135" s="473"/>
      <c r="W135" s="478"/>
      <c r="X135" s="487"/>
      <c r="Y135" s="473"/>
      <c r="Z135" s="478"/>
      <c r="AA135" s="483"/>
      <c r="AB135" s="487"/>
      <c r="AC135" s="473"/>
      <c r="AD135" s="478"/>
      <c r="AE135" s="483"/>
      <c r="AF135" s="483"/>
      <c r="AG135" s="487"/>
      <c r="AH135" s="473"/>
      <c r="AI135" s="478"/>
      <c r="AJ135" s="483"/>
      <c r="AK135" s="487"/>
      <c r="AL135" s="473"/>
      <c r="AM135" s="478"/>
      <c r="AN135" s="492"/>
    </row>
    <row r="136" spans="2:40" customFormat="1" ht="20.100000000000001" customHeight="1">
      <c r="B136" s="402"/>
      <c r="C136" s="402"/>
      <c r="D136" s="405"/>
      <c r="E136" s="407" t="s">
        <v>472</v>
      </c>
      <c r="F136" s="408">
        <v>43109</v>
      </c>
      <c r="G136" s="410">
        <v>1</v>
      </c>
      <c r="H136" s="408">
        <v>43109</v>
      </c>
      <c r="I136" s="412">
        <v>43095</v>
      </c>
      <c r="J136" s="410">
        <v>3</v>
      </c>
      <c r="K136" s="412">
        <v>43109</v>
      </c>
      <c r="L136" s="414"/>
      <c r="M136" s="416">
        <v>1</v>
      </c>
      <c r="N136" s="418"/>
      <c r="O136" s="418"/>
      <c r="P136" s="418"/>
      <c r="Q136" s="418"/>
      <c r="R136" s="405"/>
      <c r="S136" s="519"/>
      <c r="T136" s="420" t="s">
        <v>483</v>
      </c>
      <c r="U136" s="493" t="s">
        <v>489</v>
      </c>
      <c r="V136" s="473"/>
      <c r="W136" s="478"/>
      <c r="X136" s="487"/>
      <c r="Y136" s="473"/>
      <c r="Z136" s="478"/>
      <c r="AA136" s="483"/>
      <c r="AB136" s="487"/>
      <c r="AC136" s="473"/>
      <c r="AD136" s="478"/>
      <c r="AE136" s="483"/>
      <c r="AF136" s="483"/>
      <c r="AG136" s="487"/>
      <c r="AH136" s="473"/>
      <c r="AI136" s="478"/>
      <c r="AJ136" s="483"/>
      <c r="AK136" s="487"/>
      <c r="AL136" s="473"/>
      <c r="AM136" s="478"/>
      <c r="AN136" s="492"/>
    </row>
    <row r="137" spans="2:40" customFormat="1" ht="20.100000000000001" customHeight="1">
      <c r="B137" s="402"/>
      <c r="C137" s="402"/>
      <c r="D137" s="405" t="str">
        <f>D128&amp;"-03"</f>
        <v>D0307-03</v>
      </c>
      <c r="E137" s="407" t="s">
        <v>352</v>
      </c>
      <c r="F137" s="408">
        <v>43111</v>
      </c>
      <c r="G137" s="410">
        <v>1</v>
      </c>
      <c r="H137" s="408">
        <v>43111</v>
      </c>
      <c r="I137" s="412">
        <v>43111</v>
      </c>
      <c r="J137" s="410">
        <v>1</v>
      </c>
      <c r="K137" s="412">
        <v>43111</v>
      </c>
      <c r="L137" s="414"/>
      <c r="M137" s="416">
        <v>1</v>
      </c>
      <c r="N137" s="418">
        <f>2/3</f>
        <v>0.66666666666666663</v>
      </c>
      <c r="O137" s="418">
        <f t="shared" si="3"/>
        <v>0.66666666666666663</v>
      </c>
      <c r="P137" s="418">
        <f t="shared" si="0"/>
        <v>0.66666666666666663</v>
      </c>
      <c r="Q137" s="418">
        <f t="shared" si="4"/>
        <v>0.66666666666666663</v>
      </c>
      <c r="R137" s="405"/>
      <c r="S137" s="519"/>
      <c r="T137" s="420" t="s">
        <v>483</v>
      </c>
      <c r="U137" s="493" t="s">
        <v>489</v>
      </c>
      <c r="V137" s="473"/>
      <c r="W137" s="478"/>
      <c r="X137" s="487"/>
      <c r="Y137" s="473"/>
      <c r="Z137" s="478"/>
      <c r="AA137" s="483"/>
      <c r="AB137" s="487"/>
      <c r="AC137" s="473"/>
      <c r="AD137" s="478"/>
      <c r="AE137" s="483"/>
      <c r="AF137" s="483"/>
      <c r="AG137" s="487"/>
      <c r="AH137" s="473"/>
      <c r="AI137" s="478"/>
      <c r="AJ137" s="483"/>
      <c r="AK137" s="487"/>
      <c r="AL137" s="473"/>
      <c r="AM137" s="478"/>
      <c r="AN137" s="492"/>
    </row>
    <row r="138" spans="2:40" customFormat="1" ht="20.100000000000001" customHeight="1">
      <c r="B138" s="402"/>
      <c r="C138" s="402"/>
      <c r="D138" s="405" t="str">
        <f>D128&amp;"-04"</f>
        <v>D0307-04</v>
      </c>
      <c r="E138" s="407" t="s">
        <v>353</v>
      </c>
      <c r="F138" s="408">
        <v>43116</v>
      </c>
      <c r="G138" s="410">
        <v>6</v>
      </c>
      <c r="H138" s="408">
        <v>43123</v>
      </c>
      <c r="I138" s="412">
        <v>43111</v>
      </c>
      <c r="J138" s="410">
        <v>1</v>
      </c>
      <c r="K138" s="412">
        <v>43111</v>
      </c>
      <c r="L138" s="414"/>
      <c r="M138" s="416">
        <v>1</v>
      </c>
      <c r="N138" s="418">
        <f>2/3</f>
        <v>0.66666666666666663</v>
      </c>
      <c r="O138" s="418">
        <f t="shared" si="3"/>
        <v>4</v>
      </c>
      <c r="P138" s="418">
        <f t="shared" si="0"/>
        <v>4</v>
      </c>
      <c r="Q138" s="418">
        <f t="shared" si="4"/>
        <v>4</v>
      </c>
      <c r="R138" s="405"/>
      <c r="S138" s="519"/>
      <c r="T138" s="420" t="s">
        <v>483</v>
      </c>
      <c r="U138" s="493" t="s">
        <v>489</v>
      </c>
      <c r="V138" s="473"/>
      <c r="W138" s="478"/>
      <c r="X138" s="487"/>
      <c r="Y138" s="473"/>
      <c r="Z138" s="478"/>
      <c r="AA138" s="483"/>
      <c r="AB138" s="487"/>
      <c r="AC138" s="473"/>
      <c r="AD138" s="478"/>
      <c r="AE138" s="483"/>
      <c r="AF138" s="483"/>
      <c r="AG138" s="487"/>
      <c r="AH138" s="473"/>
      <c r="AI138" s="478"/>
      <c r="AJ138" s="483"/>
      <c r="AK138" s="487"/>
      <c r="AL138" s="473"/>
      <c r="AM138" s="478"/>
      <c r="AN138" s="492"/>
    </row>
    <row r="139" spans="2:40" customFormat="1" ht="20.100000000000001" customHeight="1">
      <c r="B139" s="402"/>
      <c r="C139" s="402"/>
      <c r="D139" s="405" t="str">
        <f>D128&amp;"-05"</f>
        <v>D0307-05</v>
      </c>
      <c r="E139" s="407" t="s">
        <v>354</v>
      </c>
      <c r="F139" s="408">
        <v>43123</v>
      </c>
      <c r="G139" s="410">
        <v>1</v>
      </c>
      <c r="H139" s="408">
        <v>43123</v>
      </c>
      <c r="I139" s="412">
        <v>43111</v>
      </c>
      <c r="J139" s="410">
        <v>1</v>
      </c>
      <c r="K139" s="412">
        <v>43111</v>
      </c>
      <c r="L139" s="414"/>
      <c r="M139" s="416">
        <v>1</v>
      </c>
      <c r="N139" s="418">
        <v>1</v>
      </c>
      <c r="O139" s="418">
        <f t="shared" si="3"/>
        <v>1</v>
      </c>
      <c r="P139" s="418">
        <f t="shared" si="0"/>
        <v>1</v>
      </c>
      <c r="Q139" s="418">
        <f t="shared" si="4"/>
        <v>1</v>
      </c>
      <c r="R139" s="405"/>
      <c r="S139" s="519"/>
      <c r="T139" s="420" t="s">
        <v>483</v>
      </c>
      <c r="U139" s="493" t="s">
        <v>489</v>
      </c>
      <c r="V139" s="473"/>
      <c r="W139" s="478"/>
      <c r="X139" s="487"/>
      <c r="Y139" s="473"/>
      <c r="Z139" s="478"/>
      <c r="AA139" s="483"/>
      <c r="AB139" s="487"/>
      <c r="AC139" s="473"/>
      <c r="AD139" s="478"/>
      <c r="AE139" s="483"/>
      <c r="AF139" s="483"/>
      <c r="AG139" s="487"/>
      <c r="AH139" s="473"/>
      <c r="AI139" s="478"/>
      <c r="AJ139" s="483"/>
      <c r="AK139" s="487"/>
      <c r="AL139" s="473"/>
      <c r="AM139" s="478"/>
      <c r="AN139" s="492"/>
    </row>
    <row r="140" spans="2:40" customFormat="1" ht="20.100000000000001" customHeight="1">
      <c r="B140" s="402"/>
      <c r="C140" s="424" t="s">
        <v>363</v>
      </c>
      <c r="D140" s="405" t="s">
        <v>376</v>
      </c>
      <c r="E140" s="407" t="str">
        <f>C140</f>
        <v>出荷構成比マスタ登録画面</v>
      </c>
      <c r="F140" s="408">
        <f>MIN(F141:F152)</f>
        <v>43090</v>
      </c>
      <c r="G140" s="410">
        <v>5</v>
      </c>
      <c r="H140" s="408">
        <f>MAX(H141:H152)</f>
        <v>43096</v>
      </c>
      <c r="I140" s="412"/>
      <c r="J140" s="410"/>
      <c r="K140" s="412"/>
      <c r="L140" s="414"/>
      <c r="M140" s="416"/>
      <c r="N140" s="418"/>
      <c r="O140" s="418">
        <f t="shared" si="3"/>
        <v>0</v>
      </c>
      <c r="P140" s="418">
        <f t="shared" si="0"/>
        <v>0</v>
      </c>
      <c r="Q140" s="418">
        <f t="shared" si="4"/>
        <v>0</v>
      </c>
      <c r="R140" s="405"/>
      <c r="S140" s="401" t="s">
        <v>386</v>
      </c>
      <c r="T140" s="420" t="s">
        <v>85</v>
      </c>
      <c r="U140" s="281" t="s">
        <v>487</v>
      </c>
      <c r="V140" s="473"/>
      <c r="W140" s="478"/>
      <c r="X140" s="487"/>
      <c r="Y140" s="473"/>
      <c r="Z140" s="478"/>
      <c r="AA140" s="483"/>
      <c r="AB140" s="487"/>
      <c r="AC140" s="473"/>
      <c r="AD140" s="478"/>
      <c r="AE140" s="483"/>
      <c r="AF140" s="483"/>
      <c r="AG140" s="487"/>
      <c r="AH140" s="473"/>
      <c r="AI140" s="478"/>
      <c r="AJ140" s="483"/>
      <c r="AK140" s="487"/>
      <c r="AL140" s="473"/>
      <c r="AM140" s="478"/>
      <c r="AN140" s="492"/>
    </row>
    <row r="141" spans="2:40" customFormat="1" ht="20.100000000000001" customHeight="1">
      <c r="B141" s="402"/>
      <c r="C141" s="402"/>
      <c r="D141" s="405" t="str">
        <f>D140&amp;"-01"</f>
        <v>D0308-01</v>
      </c>
      <c r="E141" s="407" t="s">
        <v>351</v>
      </c>
      <c r="F141" s="408">
        <v>43090</v>
      </c>
      <c r="G141" s="410">
        <v>1</v>
      </c>
      <c r="H141" s="408">
        <v>43090</v>
      </c>
      <c r="I141" s="412">
        <v>43090</v>
      </c>
      <c r="J141" s="410">
        <v>1</v>
      </c>
      <c r="K141" s="412">
        <v>43090</v>
      </c>
      <c r="L141" s="414"/>
      <c r="M141" s="416">
        <v>1</v>
      </c>
      <c r="N141" s="418">
        <f>3/4</f>
        <v>0.75</v>
      </c>
      <c r="O141" s="418">
        <f t="shared" si="3"/>
        <v>0.75</v>
      </c>
      <c r="P141" s="418">
        <f t="shared" si="0"/>
        <v>0.75</v>
      </c>
      <c r="Q141" s="418">
        <f t="shared" si="4"/>
        <v>0.75</v>
      </c>
      <c r="R141" s="405"/>
      <c r="S141" s="427"/>
      <c r="T141" s="420" t="s">
        <v>383</v>
      </c>
      <c r="U141" s="493" t="s">
        <v>489</v>
      </c>
      <c r="V141" s="473"/>
      <c r="W141" s="478"/>
      <c r="X141" s="487"/>
      <c r="Y141" s="473"/>
      <c r="Z141" s="478"/>
      <c r="AA141" s="483"/>
      <c r="AB141" s="487"/>
      <c r="AC141" s="473"/>
      <c r="AD141" s="478"/>
      <c r="AE141" s="483"/>
      <c r="AF141" s="483"/>
      <c r="AG141" s="487"/>
      <c r="AH141" s="473"/>
      <c r="AI141" s="478"/>
      <c r="AJ141" s="483"/>
      <c r="AK141" s="487"/>
      <c r="AL141" s="473"/>
      <c r="AM141" s="478"/>
      <c r="AN141" s="492"/>
    </row>
    <row r="142" spans="2:40" customFormat="1" ht="20.100000000000001" customHeight="1">
      <c r="B142" s="402"/>
      <c r="C142" s="402"/>
      <c r="D142" s="405" t="str">
        <f>D140&amp;"-02"</f>
        <v>D0308-02</v>
      </c>
      <c r="E142" s="407" t="s">
        <v>347</v>
      </c>
      <c r="F142" s="408">
        <f>F141</f>
        <v>43090</v>
      </c>
      <c r="G142" s="410">
        <v>3</v>
      </c>
      <c r="H142" s="408">
        <v>43094</v>
      </c>
      <c r="I142" s="412">
        <v>43090</v>
      </c>
      <c r="J142" s="410">
        <v>2</v>
      </c>
      <c r="K142" s="412">
        <v>43091</v>
      </c>
      <c r="L142" s="414"/>
      <c r="M142" s="416">
        <v>1</v>
      </c>
      <c r="N142" s="418">
        <f>3/4</f>
        <v>0.75</v>
      </c>
      <c r="O142" s="418">
        <f t="shared" si="3"/>
        <v>2.25</v>
      </c>
      <c r="P142" s="418">
        <f t="shared" si="0"/>
        <v>2.25</v>
      </c>
      <c r="Q142" s="418">
        <f t="shared" si="4"/>
        <v>2.25</v>
      </c>
      <c r="R142" s="405"/>
      <c r="S142" s="427"/>
      <c r="T142" s="420" t="s">
        <v>383</v>
      </c>
      <c r="U142" s="493" t="s">
        <v>489</v>
      </c>
      <c r="V142" s="473"/>
      <c r="W142" s="478"/>
      <c r="X142" s="487"/>
      <c r="Y142" s="473"/>
      <c r="Z142" s="478"/>
      <c r="AA142" s="483"/>
      <c r="AB142" s="487"/>
      <c r="AC142" s="473"/>
      <c r="AD142" s="478"/>
      <c r="AE142" s="483"/>
      <c r="AF142" s="483"/>
      <c r="AG142" s="487"/>
      <c r="AH142" s="473"/>
      <c r="AI142" s="478"/>
      <c r="AJ142" s="483"/>
      <c r="AK142" s="487"/>
      <c r="AL142" s="473"/>
      <c r="AM142" s="478"/>
      <c r="AN142" s="492"/>
    </row>
    <row r="143" spans="2:40" customFormat="1" ht="20.100000000000001" customHeight="1">
      <c r="B143" s="402"/>
      <c r="C143" s="402"/>
      <c r="D143" s="405"/>
      <c r="E143" s="407" t="s">
        <v>439</v>
      </c>
      <c r="F143" s="408">
        <v>43090</v>
      </c>
      <c r="G143" s="410">
        <v>1</v>
      </c>
      <c r="H143" s="408">
        <v>43090</v>
      </c>
      <c r="I143" s="412">
        <v>43090</v>
      </c>
      <c r="J143" s="410">
        <v>1</v>
      </c>
      <c r="K143" s="412">
        <v>43090</v>
      </c>
      <c r="L143" s="414"/>
      <c r="M143" s="416">
        <v>1</v>
      </c>
      <c r="N143" s="418"/>
      <c r="O143" s="418"/>
      <c r="P143" s="418"/>
      <c r="Q143" s="418"/>
      <c r="R143" s="405"/>
      <c r="S143" s="427"/>
      <c r="T143" s="420" t="s">
        <v>383</v>
      </c>
      <c r="U143" s="493" t="s">
        <v>489</v>
      </c>
      <c r="V143" s="473"/>
      <c r="W143" s="478"/>
      <c r="X143" s="487"/>
      <c r="Y143" s="473"/>
      <c r="Z143" s="478"/>
      <c r="AA143" s="483"/>
      <c r="AB143" s="487"/>
      <c r="AC143" s="473"/>
      <c r="AD143" s="478"/>
      <c r="AE143" s="483"/>
      <c r="AF143" s="483"/>
      <c r="AG143" s="487"/>
      <c r="AH143" s="473"/>
      <c r="AI143" s="478"/>
      <c r="AJ143" s="483"/>
      <c r="AK143" s="487"/>
      <c r="AL143" s="473"/>
      <c r="AM143" s="478"/>
      <c r="AN143" s="492"/>
    </row>
    <row r="144" spans="2:40" customFormat="1" ht="20.100000000000001" customHeight="1">
      <c r="B144" s="402"/>
      <c r="C144" s="402"/>
      <c r="D144" s="405"/>
      <c r="E144" s="407" t="s">
        <v>440</v>
      </c>
      <c r="F144" s="408">
        <v>43090</v>
      </c>
      <c r="G144" s="410">
        <v>2</v>
      </c>
      <c r="H144" s="408">
        <v>43091</v>
      </c>
      <c r="I144" s="412">
        <v>43090</v>
      </c>
      <c r="J144" s="410">
        <v>2</v>
      </c>
      <c r="K144" s="412">
        <v>43091</v>
      </c>
      <c r="L144" s="414"/>
      <c r="M144" s="416">
        <v>1</v>
      </c>
      <c r="N144" s="418"/>
      <c r="O144" s="418"/>
      <c r="P144" s="418"/>
      <c r="Q144" s="418"/>
      <c r="R144" s="405"/>
      <c r="S144" s="427"/>
      <c r="T144" s="420" t="s">
        <v>383</v>
      </c>
      <c r="U144" s="493" t="s">
        <v>489</v>
      </c>
      <c r="V144" s="473"/>
      <c r="W144" s="478"/>
      <c r="X144" s="487"/>
      <c r="Y144" s="473"/>
      <c r="Z144" s="478"/>
      <c r="AA144" s="483"/>
      <c r="AB144" s="487"/>
      <c r="AC144" s="473"/>
      <c r="AD144" s="478"/>
      <c r="AE144" s="483"/>
      <c r="AF144" s="483"/>
      <c r="AG144" s="487"/>
      <c r="AH144" s="473"/>
      <c r="AI144" s="478"/>
      <c r="AJ144" s="483"/>
      <c r="AK144" s="487"/>
      <c r="AL144" s="473"/>
      <c r="AM144" s="478"/>
      <c r="AN144" s="492"/>
    </row>
    <row r="145" spans="2:40" customFormat="1" ht="20.100000000000001" customHeight="1">
      <c r="B145" s="402"/>
      <c r="C145" s="402"/>
      <c r="D145" s="405" t="s">
        <v>441</v>
      </c>
      <c r="E145" s="407" t="s">
        <v>428</v>
      </c>
      <c r="F145" s="408">
        <v>43090</v>
      </c>
      <c r="G145" s="410">
        <v>1</v>
      </c>
      <c r="H145" s="408">
        <v>43090</v>
      </c>
      <c r="I145" s="412">
        <v>43090</v>
      </c>
      <c r="J145" s="410">
        <v>1</v>
      </c>
      <c r="K145" s="412">
        <v>43090</v>
      </c>
      <c r="L145" s="414"/>
      <c r="M145" s="416">
        <v>1</v>
      </c>
      <c r="N145" s="418"/>
      <c r="O145" s="418"/>
      <c r="P145" s="418"/>
      <c r="Q145" s="418"/>
      <c r="R145" s="405"/>
      <c r="S145" s="427"/>
      <c r="T145" s="420" t="s">
        <v>383</v>
      </c>
      <c r="U145" s="493" t="s">
        <v>489</v>
      </c>
      <c r="V145" s="473"/>
      <c r="W145" s="478"/>
      <c r="X145" s="487"/>
      <c r="Y145" s="473"/>
      <c r="Z145" s="478"/>
      <c r="AA145" s="483"/>
      <c r="AB145" s="487"/>
      <c r="AC145" s="473"/>
      <c r="AD145" s="478"/>
      <c r="AE145" s="483"/>
      <c r="AF145" s="483"/>
      <c r="AG145" s="487"/>
      <c r="AH145" s="473"/>
      <c r="AI145" s="478"/>
      <c r="AJ145" s="483"/>
      <c r="AK145" s="487"/>
      <c r="AL145" s="473"/>
      <c r="AM145" s="478"/>
      <c r="AN145" s="492"/>
    </row>
    <row r="146" spans="2:40" customFormat="1" ht="20.100000000000001" customHeight="1">
      <c r="B146" s="402"/>
      <c r="C146" s="402"/>
      <c r="D146" s="405"/>
      <c r="E146" s="407" t="s">
        <v>474</v>
      </c>
      <c r="F146" s="408">
        <v>43090</v>
      </c>
      <c r="G146" s="410">
        <v>2</v>
      </c>
      <c r="H146" s="408">
        <v>43091</v>
      </c>
      <c r="I146" s="412">
        <v>43090</v>
      </c>
      <c r="J146" s="410">
        <v>2</v>
      </c>
      <c r="K146" s="412">
        <v>43091</v>
      </c>
      <c r="L146" s="414"/>
      <c r="M146" s="416">
        <v>1</v>
      </c>
      <c r="N146" s="418"/>
      <c r="O146" s="418"/>
      <c r="P146" s="418"/>
      <c r="Q146" s="418"/>
      <c r="R146" s="405"/>
      <c r="S146" s="427"/>
      <c r="T146" s="420" t="s">
        <v>383</v>
      </c>
      <c r="U146" s="493" t="s">
        <v>489</v>
      </c>
      <c r="V146" s="473"/>
      <c r="W146" s="478"/>
      <c r="X146" s="487"/>
      <c r="Y146" s="473"/>
      <c r="Z146" s="478"/>
      <c r="AA146" s="483"/>
      <c r="AB146" s="487"/>
      <c r="AC146" s="473"/>
      <c r="AD146" s="478"/>
      <c r="AE146" s="483"/>
      <c r="AF146" s="483"/>
      <c r="AG146" s="487"/>
      <c r="AH146" s="473"/>
      <c r="AI146" s="478"/>
      <c r="AJ146" s="483"/>
      <c r="AK146" s="487"/>
      <c r="AL146" s="473"/>
      <c r="AM146" s="478"/>
      <c r="AN146" s="492"/>
    </row>
    <row r="147" spans="2:40" customFormat="1" ht="20.100000000000001" customHeight="1">
      <c r="B147" s="402"/>
      <c r="C147" s="402"/>
      <c r="D147" s="405"/>
      <c r="E147" s="407" t="s">
        <v>476</v>
      </c>
      <c r="F147" s="408">
        <v>43094</v>
      </c>
      <c r="G147" s="410">
        <v>1</v>
      </c>
      <c r="H147" s="408">
        <v>43094</v>
      </c>
      <c r="I147" s="412">
        <v>43091</v>
      </c>
      <c r="J147" s="410">
        <v>1</v>
      </c>
      <c r="K147" s="412">
        <v>43091</v>
      </c>
      <c r="L147" s="414"/>
      <c r="M147" s="416">
        <v>1</v>
      </c>
      <c r="N147" s="418"/>
      <c r="O147" s="418"/>
      <c r="P147" s="418"/>
      <c r="Q147" s="418"/>
      <c r="R147" s="405"/>
      <c r="S147" s="427"/>
      <c r="T147" s="420" t="s">
        <v>383</v>
      </c>
      <c r="U147" s="493" t="s">
        <v>489</v>
      </c>
      <c r="V147" s="473"/>
      <c r="W147" s="478"/>
      <c r="X147" s="487"/>
      <c r="Y147" s="473"/>
      <c r="Z147" s="478"/>
      <c r="AA147" s="483"/>
      <c r="AB147" s="487"/>
      <c r="AC147" s="473"/>
      <c r="AD147" s="478"/>
      <c r="AE147" s="483"/>
      <c r="AF147" s="483"/>
      <c r="AG147" s="487"/>
      <c r="AH147" s="473"/>
      <c r="AI147" s="478"/>
      <c r="AJ147" s="483"/>
      <c r="AK147" s="487"/>
      <c r="AL147" s="473"/>
      <c r="AM147" s="478"/>
      <c r="AN147" s="492"/>
    </row>
    <row r="148" spans="2:40" customFormat="1" ht="20.100000000000001" customHeight="1">
      <c r="B148" s="402"/>
      <c r="C148" s="402"/>
      <c r="D148" s="405"/>
      <c r="E148" s="407" t="s">
        <v>475</v>
      </c>
      <c r="F148" s="408">
        <v>43094</v>
      </c>
      <c r="G148" s="410">
        <v>1</v>
      </c>
      <c r="H148" s="408">
        <v>43094</v>
      </c>
      <c r="I148" s="412">
        <v>43091</v>
      </c>
      <c r="J148" s="410">
        <v>1</v>
      </c>
      <c r="K148" s="412">
        <v>43091</v>
      </c>
      <c r="L148" s="414"/>
      <c r="M148" s="416">
        <v>1</v>
      </c>
      <c r="N148" s="418"/>
      <c r="O148" s="418"/>
      <c r="P148" s="418"/>
      <c r="Q148" s="418"/>
      <c r="R148" s="405"/>
      <c r="S148" s="427"/>
      <c r="T148" s="420" t="s">
        <v>383</v>
      </c>
      <c r="U148" s="493" t="s">
        <v>489</v>
      </c>
      <c r="V148" s="473"/>
      <c r="W148" s="478"/>
      <c r="X148" s="487"/>
      <c r="Y148" s="473"/>
      <c r="Z148" s="478"/>
      <c r="AA148" s="483"/>
      <c r="AB148" s="487"/>
      <c r="AC148" s="473"/>
      <c r="AD148" s="478"/>
      <c r="AE148" s="483"/>
      <c r="AF148" s="483"/>
      <c r="AG148" s="487"/>
      <c r="AH148" s="473"/>
      <c r="AI148" s="478"/>
      <c r="AJ148" s="483"/>
      <c r="AK148" s="487"/>
      <c r="AL148" s="473"/>
      <c r="AM148" s="478"/>
      <c r="AN148" s="492"/>
    </row>
    <row r="149" spans="2:40" customFormat="1" ht="20.100000000000001" customHeight="1">
      <c r="B149" s="402"/>
      <c r="C149" s="402"/>
      <c r="D149" s="405"/>
      <c r="E149" s="407" t="s">
        <v>477</v>
      </c>
      <c r="F149" s="408">
        <v>43094</v>
      </c>
      <c r="G149" s="410">
        <v>1</v>
      </c>
      <c r="H149" s="408">
        <v>43094</v>
      </c>
      <c r="I149" s="412">
        <v>43091</v>
      </c>
      <c r="J149" s="410">
        <v>1</v>
      </c>
      <c r="K149" s="412">
        <v>43091</v>
      </c>
      <c r="L149" s="414"/>
      <c r="M149" s="416">
        <v>1</v>
      </c>
      <c r="N149" s="418"/>
      <c r="O149" s="418"/>
      <c r="P149" s="418"/>
      <c r="Q149" s="418"/>
      <c r="R149" s="405"/>
      <c r="S149" s="427"/>
      <c r="T149" s="420" t="s">
        <v>383</v>
      </c>
      <c r="U149" s="493" t="s">
        <v>489</v>
      </c>
      <c r="V149" s="473"/>
      <c r="W149" s="478"/>
      <c r="X149" s="487"/>
      <c r="Y149" s="473"/>
      <c r="Z149" s="478"/>
      <c r="AA149" s="483"/>
      <c r="AB149" s="487"/>
      <c r="AC149" s="473"/>
      <c r="AD149" s="478"/>
      <c r="AE149" s="483"/>
      <c r="AF149" s="483"/>
      <c r="AG149" s="487"/>
      <c r="AH149" s="473"/>
      <c r="AI149" s="478"/>
      <c r="AJ149" s="483"/>
      <c r="AK149" s="487"/>
      <c r="AL149" s="473"/>
      <c r="AM149" s="478"/>
      <c r="AN149" s="492"/>
    </row>
    <row r="150" spans="2:40" customFormat="1" ht="20.100000000000001" customHeight="1">
      <c r="B150" s="402"/>
      <c r="C150" s="402"/>
      <c r="D150" s="405" t="str">
        <f>D140&amp;"-03"</f>
        <v>D0308-03</v>
      </c>
      <c r="E150" s="407" t="s">
        <v>352</v>
      </c>
      <c r="F150" s="408">
        <f>H142+1</f>
        <v>43095</v>
      </c>
      <c r="G150" s="410">
        <v>1</v>
      </c>
      <c r="H150" s="408">
        <v>43095</v>
      </c>
      <c r="I150" s="412">
        <v>43094</v>
      </c>
      <c r="J150" s="410">
        <v>1</v>
      </c>
      <c r="K150" s="412">
        <v>43094</v>
      </c>
      <c r="L150" s="414"/>
      <c r="M150" s="416">
        <v>1</v>
      </c>
      <c r="N150" s="418">
        <f>1/2</f>
        <v>0.5</v>
      </c>
      <c r="O150" s="418">
        <f t="shared" si="3"/>
        <v>0.5</v>
      </c>
      <c r="P150" s="418">
        <f t="shared" si="0"/>
        <v>0.5</v>
      </c>
      <c r="Q150" s="418">
        <f t="shared" si="4"/>
        <v>0.5</v>
      </c>
      <c r="R150" s="405"/>
      <c r="S150" s="427"/>
      <c r="T150" s="420" t="s">
        <v>383</v>
      </c>
      <c r="U150" s="493" t="s">
        <v>489</v>
      </c>
      <c r="V150" s="473"/>
      <c r="W150" s="478"/>
      <c r="X150" s="487"/>
      <c r="Y150" s="473"/>
      <c r="Z150" s="478"/>
      <c r="AA150" s="483"/>
      <c r="AB150" s="487"/>
      <c r="AC150" s="473"/>
      <c r="AD150" s="478"/>
      <c r="AE150" s="483"/>
      <c r="AF150" s="483"/>
      <c r="AG150" s="487"/>
      <c r="AH150" s="473"/>
      <c r="AI150" s="478"/>
      <c r="AJ150" s="483"/>
      <c r="AK150" s="487"/>
      <c r="AL150" s="473"/>
      <c r="AM150" s="478"/>
      <c r="AN150" s="492"/>
    </row>
    <row r="151" spans="2:40" customFormat="1" ht="20.100000000000001" customHeight="1">
      <c r="B151" s="402"/>
      <c r="C151" s="402"/>
      <c r="D151" s="405" t="str">
        <f>D140&amp;"-04"</f>
        <v>D0308-04</v>
      </c>
      <c r="E151" s="407" t="s">
        <v>353</v>
      </c>
      <c r="F151" s="408">
        <f>F150</f>
        <v>43095</v>
      </c>
      <c r="G151" s="410">
        <v>1</v>
      </c>
      <c r="H151" s="408">
        <v>43095</v>
      </c>
      <c r="I151" s="412">
        <v>43094</v>
      </c>
      <c r="J151" s="410">
        <v>1</v>
      </c>
      <c r="K151" s="412">
        <v>43094</v>
      </c>
      <c r="L151" s="414"/>
      <c r="M151" s="416">
        <v>1</v>
      </c>
      <c r="N151" s="418">
        <f>1/2</f>
        <v>0.5</v>
      </c>
      <c r="O151" s="418">
        <f t="shared" si="3"/>
        <v>0.5</v>
      </c>
      <c r="P151" s="418">
        <f t="shared" si="0"/>
        <v>0.5</v>
      </c>
      <c r="Q151" s="418">
        <f t="shared" si="4"/>
        <v>0.5</v>
      </c>
      <c r="R151" s="405"/>
      <c r="S151" s="427"/>
      <c r="T151" s="420" t="s">
        <v>383</v>
      </c>
      <c r="U151" s="493" t="s">
        <v>489</v>
      </c>
      <c r="V151" s="473"/>
      <c r="W151" s="478"/>
      <c r="X151" s="487"/>
      <c r="Y151" s="473"/>
      <c r="Z151" s="478"/>
      <c r="AA151" s="483"/>
      <c r="AB151" s="487"/>
      <c r="AC151" s="473"/>
      <c r="AD151" s="478"/>
      <c r="AE151" s="483"/>
      <c r="AF151" s="483"/>
      <c r="AG151" s="487"/>
      <c r="AH151" s="473"/>
      <c r="AI151" s="478"/>
      <c r="AJ151" s="483"/>
      <c r="AK151" s="487"/>
      <c r="AL151" s="473"/>
      <c r="AM151" s="478"/>
      <c r="AN151" s="492"/>
    </row>
    <row r="152" spans="2:40" customFormat="1" ht="20.100000000000001" customHeight="1">
      <c r="B152" s="402"/>
      <c r="C152" s="402"/>
      <c r="D152" s="405" t="str">
        <f>D140&amp;"-05"</f>
        <v>D0308-05</v>
      </c>
      <c r="E152" s="407" t="s">
        <v>354</v>
      </c>
      <c r="F152" s="408">
        <f>H151+1</f>
        <v>43096</v>
      </c>
      <c r="G152" s="410">
        <v>1</v>
      </c>
      <c r="H152" s="408">
        <v>43096</v>
      </c>
      <c r="I152" s="412">
        <v>43094</v>
      </c>
      <c r="J152" s="410">
        <v>1</v>
      </c>
      <c r="K152" s="412">
        <v>43094</v>
      </c>
      <c r="L152" s="414"/>
      <c r="M152" s="416">
        <v>1</v>
      </c>
      <c r="N152" s="418">
        <v>1</v>
      </c>
      <c r="O152" s="418">
        <f t="shared" si="3"/>
        <v>1</v>
      </c>
      <c r="P152" s="418">
        <f t="shared" si="0"/>
        <v>1</v>
      </c>
      <c r="Q152" s="418">
        <f t="shared" si="4"/>
        <v>1</v>
      </c>
      <c r="R152" s="405"/>
      <c r="S152" s="427"/>
      <c r="T152" s="420" t="s">
        <v>383</v>
      </c>
      <c r="U152" s="493" t="s">
        <v>489</v>
      </c>
      <c r="V152" s="473"/>
      <c r="W152" s="478"/>
      <c r="X152" s="487"/>
      <c r="Y152" s="473"/>
      <c r="Z152" s="478"/>
      <c r="AA152" s="483"/>
      <c r="AB152" s="487"/>
      <c r="AC152" s="473"/>
      <c r="AD152" s="478"/>
      <c r="AE152" s="483"/>
      <c r="AF152" s="483"/>
      <c r="AG152" s="487"/>
      <c r="AH152" s="473"/>
      <c r="AI152" s="478"/>
      <c r="AJ152" s="483"/>
      <c r="AK152" s="487"/>
      <c r="AL152" s="473"/>
      <c r="AM152" s="478"/>
      <c r="AN152" s="492"/>
    </row>
    <row r="153" spans="2:40" customFormat="1" ht="20.100000000000001" customHeight="1">
      <c r="B153" s="402"/>
      <c r="C153" s="424" t="s">
        <v>364</v>
      </c>
      <c r="D153" s="405" t="s">
        <v>377</v>
      </c>
      <c r="E153" s="407" t="str">
        <f>C153</f>
        <v>汎用データダウンロード</v>
      </c>
      <c r="F153" s="408">
        <f>MIN(F154:F161)</f>
        <v>43109</v>
      </c>
      <c r="G153" s="410">
        <v>3</v>
      </c>
      <c r="H153" s="408">
        <f>MAX(H154:H161)</f>
        <v>43111</v>
      </c>
      <c r="I153" s="412"/>
      <c r="J153" s="410"/>
      <c r="K153" s="412"/>
      <c r="L153" s="414"/>
      <c r="M153" s="416"/>
      <c r="N153" s="418"/>
      <c r="O153" s="418">
        <f t="shared" si="3"/>
        <v>0</v>
      </c>
      <c r="P153" s="418">
        <f t="shared" si="0"/>
        <v>0</v>
      </c>
      <c r="Q153" s="418">
        <f t="shared" si="4"/>
        <v>0</v>
      </c>
      <c r="R153" s="405"/>
      <c r="S153" s="401" t="s">
        <v>386</v>
      </c>
      <c r="T153" s="420" t="s">
        <v>85</v>
      </c>
      <c r="U153" s="281" t="s">
        <v>487</v>
      </c>
      <c r="V153" s="473"/>
      <c r="W153" s="478"/>
      <c r="X153" s="487"/>
      <c r="Y153" s="473"/>
      <c r="Z153" s="478"/>
      <c r="AA153" s="483"/>
      <c r="AB153" s="487"/>
      <c r="AC153" s="473"/>
      <c r="AD153" s="478"/>
      <c r="AE153" s="483"/>
      <c r="AF153" s="483"/>
      <c r="AG153" s="487"/>
      <c r="AH153" s="473"/>
      <c r="AI153" s="478"/>
      <c r="AJ153" s="483"/>
      <c r="AK153" s="487"/>
      <c r="AL153" s="473"/>
      <c r="AM153" s="478"/>
      <c r="AN153" s="492"/>
    </row>
    <row r="154" spans="2:40" customFormat="1" ht="20.100000000000001" customHeight="1">
      <c r="B154" s="402"/>
      <c r="C154" s="402"/>
      <c r="D154" s="405" t="str">
        <f>D153&amp;"-01"</f>
        <v>D0403-01</v>
      </c>
      <c r="E154" s="407" t="s">
        <v>351</v>
      </c>
      <c r="F154" s="408">
        <v>43109</v>
      </c>
      <c r="G154" s="410">
        <v>1</v>
      </c>
      <c r="H154" s="408">
        <v>43109</v>
      </c>
      <c r="I154" s="412">
        <v>43095</v>
      </c>
      <c r="J154" s="410">
        <v>1</v>
      </c>
      <c r="K154" s="412">
        <v>43095</v>
      </c>
      <c r="L154" s="414"/>
      <c r="M154" s="416">
        <v>1</v>
      </c>
      <c r="N154" s="418">
        <f>2/3</f>
        <v>0.66666666666666663</v>
      </c>
      <c r="O154" s="418">
        <f t="shared" si="3"/>
        <v>0.66666666666666663</v>
      </c>
      <c r="P154" s="418">
        <f t="shared" si="0"/>
        <v>0.66666666666666663</v>
      </c>
      <c r="Q154" s="418">
        <f t="shared" si="4"/>
        <v>0.66666666666666663</v>
      </c>
      <c r="R154" s="405"/>
      <c r="S154" s="427"/>
      <c r="T154" s="420" t="s">
        <v>383</v>
      </c>
      <c r="U154" s="493" t="s">
        <v>489</v>
      </c>
      <c r="V154" s="473"/>
      <c r="W154" s="478"/>
      <c r="X154" s="487"/>
      <c r="Y154" s="473"/>
      <c r="Z154" s="478"/>
      <c r="AA154" s="483"/>
      <c r="AB154" s="487"/>
      <c r="AC154" s="473"/>
      <c r="AD154" s="478"/>
      <c r="AE154" s="483"/>
      <c r="AF154" s="483"/>
      <c r="AG154" s="487"/>
      <c r="AH154" s="473"/>
      <c r="AI154" s="478"/>
      <c r="AJ154" s="483"/>
      <c r="AK154" s="487"/>
      <c r="AL154" s="473"/>
      <c r="AM154" s="478"/>
      <c r="AN154" s="492"/>
    </row>
    <row r="155" spans="2:40" customFormat="1" ht="20.100000000000001" customHeight="1">
      <c r="B155" s="402"/>
      <c r="C155" s="402"/>
      <c r="D155" s="405" t="str">
        <f>D153&amp;"-02"</f>
        <v>D0403-02</v>
      </c>
      <c r="E155" s="407" t="s">
        <v>347</v>
      </c>
      <c r="F155" s="408">
        <f>F154</f>
        <v>43109</v>
      </c>
      <c r="G155" s="410">
        <v>2</v>
      </c>
      <c r="H155" s="408">
        <v>43110</v>
      </c>
      <c r="I155" s="412">
        <v>43096</v>
      </c>
      <c r="J155" s="410">
        <v>1</v>
      </c>
      <c r="K155" s="412">
        <v>43096</v>
      </c>
      <c r="L155" s="414"/>
      <c r="M155" s="416">
        <v>1</v>
      </c>
      <c r="N155" s="418">
        <f>2/3</f>
        <v>0.66666666666666663</v>
      </c>
      <c r="O155" s="418">
        <f t="shared" si="3"/>
        <v>1.3333333333333333</v>
      </c>
      <c r="P155" s="418">
        <f t="shared" si="0"/>
        <v>1.3333333333333333</v>
      </c>
      <c r="Q155" s="418">
        <f t="shared" si="4"/>
        <v>1.3333333333333333</v>
      </c>
      <c r="R155" s="405"/>
      <c r="S155" s="427"/>
      <c r="T155" s="420" t="s">
        <v>383</v>
      </c>
      <c r="U155" s="493" t="s">
        <v>489</v>
      </c>
      <c r="V155" s="473"/>
      <c r="W155" s="478"/>
      <c r="X155" s="487"/>
      <c r="Y155" s="473"/>
      <c r="Z155" s="478"/>
      <c r="AA155" s="483"/>
      <c r="AB155" s="487"/>
      <c r="AC155" s="473"/>
      <c r="AD155" s="478"/>
      <c r="AE155" s="483"/>
      <c r="AF155" s="483"/>
      <c r="AG155" s="487"/>
      <c r="AH155" s="473"/>
      <c r="AI155" s="478"/>
      <c r="AJ155" s="483"/>
      <c r="AK155" s="487"/>
      <c r="AL155" s="473"/>
      <c r="AM155" s="478"/>
      <c r="AN155" s="492"/>
    </row>
    <row r="156" spans="2:40" customFormat="1" ht="20.100000000000001" customHeight="1">
      <c r="B156" s="402"/>
      <c r="C156" s="402"/>
      <c r="D156" s="405"/>
      <c r="E156" s="407" t="s">
        <v>439</v>
      </c>
      <c r="F156" s="408">
        <v>43109</v>
      </c>
      <c r="G156" s="410">
        <v>2</v>
      </c>
      <c r="H156" s="408">
        <v>43110</v>
      </c>
      <c r="I156" s="412">
        <v>43096</v>
      </c>
      <c r="J156" s="410">
        <v>1</v>
      </c>
      <c r="K156" s="412">
        <v>43096</v>
      </c>
      <c r="L156" s="414"/>
      <c r="M156" s="416">
        <v>1</v>
      </c>
      <c r="N156" s="418"/>
      <c r="O156" s="418"/>
      <c r="P156" s="418"/>
      <c r="Q156" s="418"/>
      <c r="R156" s="405"/>
      <c r="S156" s="427"/>
      <c r="T156" s="420" t="s">
        <v>383</v>
      </c>
      <c r="U156" s="493" t="s">
        <v>496</v>
      </c>
      <c r="V156" s="473"/>
      <c r="W156" s="478"/>
      <c r="X156" s="487"/>
      <c r="Y156" s="473"/>
      <c r="Z156" s="478"/>
      <c r="AA156" s="483"/>
      <c r="AB156" s="487"/>
      <c r="AC156" s="473"/>
      <c r="AD156" s="478"/>
      <c r="AE156" s="483"/>
      <c r="AF156" s="483"/>
      <c r="AG156" s="487"/>
      <c r="AH156" s="473"/>
      <c r="AI156" s="478"/>
      <c r="AJ156" s="483"/>
      <c r="AK156" s="487"/>
      <c r="AL156" s="473"/>
      <c r="AM156" s="478"/>
      <c r="AN156" s="492"/>
    </row>
    <row r="157" spans="2:40" customFormat="1" ht="20.100000000000001" customHeight="1">
      <c r="B157" s="402"/>
      <c r="C157" s="402"/>
      <c r="D157" s="405" t="s">
        <v>441</v>
      </c>
      <c r="E157" s="407" t="s">
        <v>428</v>
      </c>
      <c r="F157" s="408">
        <f>F156</f>
        <v>43109</v>
      </c>
      <c r="G157" s="410">
        <v>1</v>
      </c>
      <c r="H157" s="408">
        <v>43109</v>
      </c>
      <c r="I157" s="412">
        <v>43096</v>
      </c>
      <c r="J157" s="410">
        <v>1</v>
      </c>
      <c r="K157" s="412">
        <v>43096</v>
      </c>
      <c r="L157" s="414"/>
      <c r="M157" s="416">
        <v>1</v>
      </c>
      <c r="N157" s="418"/>
      <c r="O157" s="418"/>
      <c r="P157" s="418"/>
      <c r="Q157" s="418"/>
      <c r="R157" s="405"/>
      <c r="S157" s="427"/>
      <c r="T157" s="420" t="s">
        <v>383</v>
      </c>
      <c r="U157" s="493" t="s">
        <v>497</v>
      </c>
      <c r="V157" s="473"/>
      <c r="W157" s="478"/>
      <c r="X157" s="487"/>
      <c r="Y157" s="473"/>
      <c r="Z157" s="478"/>
      <c r="AA157" s="483"/>
      <c r="AB157" s="487"/>
      <c r="AC157" s="473"/>
      <c r="AD157" s="478"/>
      <c r="AE157" s="483"/>
      <c r="AF157" s="483"/>
      <c r="AG157" s="487"/>
      <c r="AH157" s="473"/>
      <c r="AI157" s="478"/>
      <c r="AJ157" s="483"/>
      <c r="AK157" s="487"/>
      <c r="AL157" s="473"/>
      <c r="AM157" s="478"/>
      <c r="AN157" s="492"/>
    </row>
    <row r="158" spans="2:40" customFormat="1" ht="20.100000000000001" customHeight="1">
      <c r="B158" s="402"/>
      <c r="C158" s="402"/>
      <c r="D158" s="405"/>
      <c r="E158" s="407" t="s">
        <v>478</v>
      </c>
      <c r="F158" s="408">
        <f>H156</f>
        <v>43110</v>
      </c>
      <c r="G158" s="410">
        <v>1</v>
      </c>
      <c r="H158" s="408">
        <v>43110</v>
      </c>
      <c r="I158" s="412">
        <v>43096</v>
      </c>
      <c r="J158" s="410">
        <v>1</v>
      </c>
      <c r="K158" s="412">
        <v>43096</v>
      </c>
      <c r="L158" s="414"/>
      <c r="M158" s="416">
        <v>1</v>
      </c>
      <c r="N158" s="418"/>
      <c r="O158" s="418"/>
      <c r="P158" s="418"/>
      <c r="Q158" s="418"/>
      <c r="R158" s="405"/>
      <c r="S158" s="427"/>
      <c r="T158" s="420" t="s">
        <v>383</v>
      </c>
      <c r="U158" s="493" t="s">
        <v>489</v>
      </c>
      <c r="V158" s="473"/>
      <c r="W158" s="478"/>
      <c r="X158" s="487"/>
      <c r="Y158" s="473"/>
      <c r="Z158" s="478"/>
      <c r="AA158" s="483"/>
      <c r="AB158" s="487"/>
      <c r="AC158" s="473"/>
      <c r="AD158" s="478"/>
      <c r="AE158" s="483"/>
      <c r="AF158" s="483"/>
      <c r="AG158" s="487"/>
      <c r="AH158" s="473"/>
      <c r="AI158" s="478"/>
      <c r="AJ158" s="483"/>
      <c r="AK158" s="487"/>
      <c r="AL158" s="473"/>
      <c r="AM158" s="478"/>
      <c r="AN158" s="492"/>
    </row>
    <row r="159" spans="2:40" customFormat="1" ht="20.100000000000001" customHeight="1">
      <c r="B159" s="402"/>
      <c r="C159" s="402"/>
      <c r="D159" s="405" t="str">
        <f>D153&amp;"-03"</f>
        <v>D0403-03</v>
      </c>
      <c r="E159" s="407" t="s">
        <v>352</v>
      </c>
      <c r="F159" s="408">
        <f>H155+1</f>
        <v>43111</v>
      </c>
      <c r="G159" s="410">
        <v>1</v>
      </c>
      <c r="H159" s="408">
        <v>43111</v>
      </c>
      <c r="I159" s="412">
        <v>43109</v>
      </c>
      <c r="J159" s="410">
        <v>1</v>
      </c>
      <c r="K159" s="412">
        <v>43109</v>
      </c>
      <c r="L159" s="414"/>
      <c r="M159" s="416">
        <v>1</v>
      </c>
      <c r="N159" s="418">
        <f>1/3</f>
        <v>0.33333333333333331</v>
      </c>
      <c r="O159" s="418">
        <f t="shared" si="3"/>
        <v>0.33333333333333331</v>
      </c>
      <c r="P159" s="418">
        <f t="shared" si="0"/>
        <v>0.33333333333333331</v>
      </c>
      <c r="Q159" s="418">
        <f t="shared" si="4"/>
        <v>0.33333333333333331</v>
      </c>
      <c r="R159" s="405"/>
      <c r="S159" s="427"/>
      <c r="T159" s="420" t="s">
        <v>383</v>
      </c>
      <c r="U159" s="493" t="s">
        <v>489</v>
      </c>
      <c r="V159" s="473"/>
      <c r="W159" s="478"/>
      <c r="X159" s="487"/>
      <c r="Y159" s="473"/>
      <c r="Z159" s="478"/>
      <c r="AA159" s="483"/>
      <c r="AB159" s="487"/>
      <c r="AC159" s="473"/>
      <c r="AD159" s="478"/>
      <c r="AE159" s="483"/>
      <c r="AF159" s="483"/>
      <c r="AG159" s="487"/>
      <c r="AH159" s="473"/>
      <c r="AI159" s="478"/>
      <c r="AJ159" s="483"/>
      <c r="AK159" s="487"/>
      <c r="AL159" s="473"/>
      <c r="AM159" s="478"/>
      <c r="AN159" s="492"/>
    </row>
    <row r="160" spans="2:40" customFormat="1" ht="20.100000000000001" customHeight="1">
      <c r="B160" s="402"/>
      <c r="C160" s="402"/>
      <c r="D160" s="405" t="str">
        <f>D153&amp;"-04"</f>
        <v>D0403-04</v>
      </c>
      <c r="E160" s="407" t="s">
        <v>353</v>
      </c>
      <c r="F160" s="408">
        <f>H155+1</f>
        <v>43111</v>
      </c>
      <c r="G160" s="410">
        <v>1</v>
      </c>
      <c r="H160" s="408">
        <v>43111</v>
      </c>
      <c r="I160" s="412">
        <v>43109</v>
      </c>
      <c r="J160" s="410">
        <v>1</v>
      </c>
      <c r="K160" s="412">
        <v>43109</v>
      </c>
      <c r="L160" s="414"/>
      <c r="M160" s="416">
        <v>1</v>
      </c>
      <c r="N160" s="418">
        <f>1/3</f>
        <v>0.33333333333333331</v>
      </c>
      <c r="O160" s="418">
        <f t="shared" si="3"/>
        <v>0.33333333333333331</v>
      </c>
      <c r="P160" s="418">
        <f t="shared" si="0"/>
        <v>0.33333333333333331</v>
      </c>
      <c r="Q160" s="418">
        <f t="shared" si="4"/>
        <v>0.33333333333333331</v>
      </c>
      <c r="R160" s="405"/>
      <c r="S160" s="427"/>
      <c r="T160" s="420" t="s">
        <v>383</v>
      </c>
      <c r="U160" s="493" t="s">
        <v>489</v>
      </c>
      <c r="V160" s="473"/>
      <c r="W160" s="478"/>
      <c r="X160" s="487"/>
      <c r="Y160" s="473"/>
      <c r="Z160" s="478"/>
      <c r="AA160" s="483"/>
      <c r="AB160" s="487"/>
      <c r="AC160" s="473"/>
      <c r="AD160" s="478"/>
      <c r="AE160" s="483"/>
      <c r="AF160" s="483"/>
      <c r="AG160" s="487"/>
      <c r="AH160" s="473"/>
      <c r="AI160" s="478"/>
      <c r="AJ160" s="483"/>
      <c r="AK160" s="487"/>
      <c r="AL160" s="473"/>
      <c r="AM160" s="478"/>
      <c r="AN160" s="492"/>
    </row>
    <row r="161" spans="2:40" customFormat="1" ht="20.100000000000001" customHeight="1">
      <c r="B161" s="402"/>
      <c r="C161" s="402"/>
      <c r="D161" s="405" t="str">
        <f>D153&amp;"-05"</f>
        <v>D0403-05</v>
      </c>
      <c r="E161" s="407" t="s">
        <v>354</v>
      </c>
      <c r="F161" s="408">
        <f>F160</f>
        <v>43111</v>
      </c>
      <c r="G161" s="410">
        <v>1</v>
      </c>
      <c r="H161" s="408">
        <v>43111</v>
      </c>
      <c r="I161" s="412">
        <v>43109</v>
      </c>
      <c r="J161" s="410">
        <v>1</v>
      </c>
      <c r="K161" s="412">
        <v>43109</v>
      </c>
      <c r="L161" s="414"/>
      <c r="M161" s="416">
        <v>1</v>
      </c>
      <c r="N161" s="418">
        <f>1/3</f>
        <v>0.33333333333333331</v>
      </c>
      <c r="O161" s="418">
        <f t="shared" si="3"/>
        <v>0.33333333333333331</v>
      </c>
      <c r="P161" s="418">
        <f t="shared" si="0"/>
        <v>0.33333333333333331</v>
      </c>
      <c r="Q161" s="418">
        <f t="shared" si="4"/>
        <v>0.33333333333333331</v>
      </c>
      <c r="R161" s="405"/>
      <c r="S161" s="427"/>
      <c r="T161" s="420" t="s">
        <v>383</v>
      </c>
      <c r="U161" s="493" t="s">
        <v>489</v>
      </c>
      <c r="V161" s="473"/>
      <c r="W161" s="478"/>
      <c r="X161" s="487"/>
      <c r="Y161" s="473"/>
      <c r="Z161" s="478"/>
      <c r="AA161" s="483"/>
      <c r="AB161" s="487"/>
      <c r="AC161" s="473"/>
      <c r="AD161" s="478"/>
      <c r="AE161" s="483"/>
      <c r="AF161" s="483"/>
      <c r="AG161" s="487"/>
      <c r="AH161" s="473"/>
      <c r="AI161" s="478"/>
      <c r="AJ161" s="483"/>
      <c r="AK161" s="487"/>
      <c r="AL161" s="473"/>
      <c r="AM161" s="478"/>
      <c r="AN161" s="492"/>
    </row>
    <row r="162" spans="2:40" customFormat="1" ht="20.100000000000001" customHeight="1">
      <c r="B162" s="402"/>
      <c r="C162" s="424" t="s">
        <v>365</v>
      </c>
      <c r="D162" s="405" t="s">
        <v>378</v>
      </c>
      <c r="E162" s="407" t="str">
        <f>C162</f>
        <v>特売用メニュー</v>
      </c>
      <c r="F162" s="408">
        <f>MIN(F163:F169)</f>
        <v>43111</v>
      </c>
      <c r="G162" s="410">
        <v>6</v>
      </c>
      <c r="H162" s="408">
        <f>MAX(H163:H169)</f>
        <v>43118</v>
      </c>
      <c r="I162" s="412">
        <v>43112</v>
      </c>
      <c r="J162" s="528">
        <v>9</v>
      </c>
      <c r="K162" s="412"/>
      <c r="L162" s="414"/>
      <c r="M162" s="416"/>
      <c r="N162" s="418"/>
      <c r="O162" s="418">
        <f t="shared" si="3"/>
        <v>0</v>
      </c>
      <c r="P162" s="418">
        <f t="shared" si="0"/>
        <v>0</v>
      </c>
      <c r="Q162" s="418">
        <f t="shared" si="4"/>
        <v>0</v>
      </c>
      <c r="R162" s="405"/>
      <c r="S162" s="401" t="s">
        <v>386</v>
      </c>
      <c r="T162" s="420" t="s">
        <v>85</v>
      </c>
      <c r="U162" s="281" t="s">
        <v>487</v>
      </c>
      <c r="V162" s="473"/>
      <c r="W162" s="478"/>
      <c r="X162" s="487"/>
      <c r="Y162" s="473"/>
      <c r="Z162" s="478"/>
      <c r="AA162" s="483"/>
      <c r="AB162" s="487"/>
      <c r="AC162" s="473"/>
      <c r="AD162" s="478"/>
      <c r="AE162" s="483"/>
      <c r="AF162" s="483"/>
      <c r="AG162" s="487"/>
      <c r="AH162" s="473"/>
      <c r="AI162" s="478"/>
      <c r="AJ162" s="483"/>
      <c r="AK162" s="487"/>
      <c r="AL162" s="473"/>
      <c r="AM162" s="478"/>
      <c r="AN162" s="492"/>
    </row>
    <row r="163" spans="2:40" customFormat="1" ht="20.100000000000001" customHeight="1">
      <c r="B163" s="402"/>
      <c r="C163" s="429"/>
      <c r="D163" s="405" t="str">
        <f>D162&amp;"-01"</f>
        <v>D0402-01</v>
      </c>
      <c r="E163" s="407" t="s">
        <v>351</v>
      </c>
      <c r="F163" s="408">
        <v>43111</v>
      </c>
      <c r="G163" s="410">
        <v>1</v>
      </c>
      <c r="H163" s="408">
        <v>43111</v>
      </c>
      <c r="I163" s="412">
        <v>43111</v>
      </c>
      <c r="J163" s="410">
        <v>1</v>
      </c>
      <c r="K163" s="412">
        <v>43111</v>
      </c>
      <c r="L163" s="414"/>
      <c r="M163" s="416">
        <v>1</v>
      </c>
      <c r="N163" s="418">
        <f>2/3</f>
        <v>0.66666666666666663</v>
      </c>
      <c r="O163" s="418">
        <f t="shared" si="3"/>
        <v>0.66666666666666663</v>
      </c>
      <c r="P163" s="418">
        <f t="shared" si="0"/>
        <v>0.66666666666666663</v>
      </c>
      <c r="Q163" s="418">
        <f t="shared" si="4"/>
        <v>0.66666666666666663</v>
      </c>
      <c r="R163" s="405"/>
      <c r="S163" s="519"/>
      <c r="T163" s="420" t="s">
        <v>483</v>
      </c>
      <c r="U163" s="493" t="s">
        <v>489</v>
      </c>
      <c r="V163" s="473"/>
      <c r="W163" s="478"/>
      <c r="X163" s="487"/>
      <c r="Y163" s="473"/>
      <c r="Z163" s="478"/>
      <c r="AA163" s="483"/>
      <c r="AB163" s="487"/>
      <c r="AC163" s="473"/>
      <c r="AD163" s="478"/>
      <c r="AE163" s="483"/>
      <c r="AF163" s="483"/>
      <c r="AG163" s="487"/>
      <c r="AH163" s="473"/>
      <c r="AI163" s="478"/>
      <c r="AJ163" s="483"/>
      <c r="AK163" s="487"/>
      <c r="AL163" s="473"/>
      <c r="AM163" s="478"/>
      <c r="AN163" s="492"/>
    </row>
    <row r="164" spans="2:40" customFormat="1" ht="20.100000000000001" customHeight="1">
      <c r="B164" s="402"/>
      <c r="C164" s="402"/>
      <c r="D164" s="405" t="str">
        <f>D162&amp;"-02"</f>
        <v>D0402-02</v>
      </c>
      <c r="E164" s="407" t="s">
        <v>347</v>
      </c>
      <c r="F164" s="408">
        <f>F163</f>
        <v>43111</v>
      </c>
      <c r="G164" s="410">
        <v>4</v>
      </c>
      <c r="H164" s="408">
        <v>43116</v>
      </c>
      <c r="I164" s="412">
        <v>43112</v>
      </c>
      <c r="J164" s="410">
        <v>1</v>
      </c>
      <c r="K164" s="412">
        <v>43112</v>
      </c>
      <c r="L164" s="414"/>
      <c r="M164" s="416">
        <v>1</v>
      </c>
      <c r="N164" s="418">
        <f>2/3</f>
        <v>0.66666666666666663</v>
      </c>
      <c r="O164" s="418">
        <f t="shared" si="3"/>
        <v>2.6666666666666665</v>
      </c>
      <c r="P164" s="418">
        <f t="shared" si="0"/>
        <v>2.6666666666666665</v>
      </c>
      <c r="Q164" s="418">
        <f t="shared" si="4"/>
        <v>2.6666666666666665</v>
      </c>
      <c r="R164" s="405"/>
      <c r="S164" s="519"/>
      <c r="T164" s="420" t="s">
        <v>483</v>
      </c>
      <c r="U164" s="493" t="s">
        <v>489</v>
      </c>
      <c r="V164" s="473"/>
      <c r="W164" s="478"/>
      <c r="X164" s="487"/>
      <c r="Y164" s="473"/>
      <c r="Z164" s="478"/>
      <c r="AA164" s="483"/>
      <c r="AB164" s="487"/>
      <c r="AC164" s="473"/>
      <c r="AD164" s="478"/>
      <c r="AE164" s="483"/>
      <c r="AF164" s="483"/>
      <c r="AG164" s="487"/>
      <c r="AH164" s="473"/>
      <c r="AI164" s="478"/>
      <c r="AJ164" s="483"/>
      <c r="AK164" s="487"/>
      <c r="AL164" s="473"/>
      <c r="AM164" s="478"/>
      <c r="AN164" s="492"/>
    </row>
    <row r="165" spans="2:40" customFormat="1" ht="20.100000000000001" customHeight="1">
      <c r="B165" s="402"/>
      <c r="C165" s="402"/>
      <c r="D165" s="405"/>
      <c r="E165" s="407" t="s">
        <v>479</v>
      </c>
      <c r="F165" s="408">
        <f>F164</f>
        <v>43111</v>
      </c>
      <c r="G165" s="410">
        <v>4</v>
      </c>
      <c r="H165" s="408">
        <v>43116</v>
      </c>
      <c r="I165" s="412">
        <v>43112</v>
      </c>
      <c r="J165" s="410">
        <v>1</v>
      </c>
      <c r="K165" s="412">
        <v>43112</v>
      </c>
      <c r="L165" s="414"/>
      <c r="M165" s="416">
        <v>1</v>
      </c>
      <c r="N165" s="418"/>
      <c r="O165" s="418"/>
      <c r="P165" s="418"/>
      <c r="Q165" s="418"/>
      <c r="R165" s="405"/>
      <c r="S165" s="519"/>
      <c r="T165" s="420" t="s">
        <v>483</v>
      </c>
      <c r="U165" s="493" t="s">
        <v>489</v>
      </c>
      <c r="V165" s="473"/>
      <c r="W165" s="478"/>
      <c r="X165" s="487"/>
      <c r="Y165" s="473"/>
      <c r="Z165" s="478"/>
      <c r="AA165" s="483"/>
      <c r="AB165" s="487"/>
      <c r="AC165" s="473"/>
      <c r="AD165" s="478"/>
      <c r="AE165" s="483"/>
      <c r="AF165" s="483"/>
      <c r="AG165" s="487"/>
      <c r="AH165" s="473"/>
      <c r="AI165" s="478"/>
      <c r="AJ165" s="483"/>
      <c r="AK165" s="487"/>
      <c r="AL165" s="473"/>
      <c r="AM165" s="478"/>
      <c r="AN165" s="492"/>
    </row>
    <row r="166" spans="2:40" customFormat="1" ht="20.100000000000001" customHeight="1">
      <c r="B166" s="402"/>
      <c r="C166" s="402"/>
      <c r="D166" s="405" t="s">
        <v>441</v>
      </c>
      <c r="E166" s="407" t="s">
        <v>428</v>
      </c>
      <c r="F166" s="408">
        <f>F165</f>
        <v>43111</v>
      </c>
      <c r="G166" s="410">
        <v>4</v>
      </c>
      <c r="H166" s="408">
        <v>43116</v>
      </c>
      <c r="I166" s="412">
        <v>43112</v>
      </c>
      <c r="J166" s="410">
        <v>1</v>
      </c>
      <c r="K166" s="412">
        <v>43112</v>
      </c>
      <c r="L166" s="414"/>
      <c r="M166" s="416">
        <v>1</v>
      </c>
      <c r="N166" s="418"/>
      <c r="O166" s="418"/>
      <c r="P166" s="418"/>
      <c r="Q166" s="418"/>
      <c r="R166" s="405"/>
      <c r="S166" s="519"/>
      <c r="T166" s="420" t="s">
        <v>483</v>
      </c>
      <c r="U166" s="493" t="s">
        <v>489</v>
      </c>
      <c r="V166" s="473"/>
      <c r="W166" s="478"/>
      <c r="X166" s="487"/>
      <c r="Y166" s="473"/>
      <c r="Z166" s="478"/>
      <c r="AA166" s="483"/>
      <c r="AB166" s="487"/>
      <c r="AC166" s="473"/>
      <c r="AD166" s="478"/>
      <c r="AE166" s="483"/>
      <c r="AF166" s="483"/>
      <c r="AG166" s="487"/>
      <c r="AH166" s="473"/>
      <c r="AI166" s="478"/>
      <c r="AJ166" s="483"/>
      <c r="AK166" s="487"/>
      <c r="AL166" s="473"/>
      <c r="AM166" s="478"/>
      <c r="AN166" s="492"/>
    </row>
    <row r="167" spans="2:40" customFormat="1" ht="20.100000000000001" customHeight="1">
      <c r="B167" s="402"/>
      <c r="C167" s="402"/>
      <c r="D167" s="405" t="str">
        <f>D162&amp;"-03"</f>
        <v>D0402-03</v>
      </c>
      <c r="E167" s="407" t="s">
        <v>352</v>
      </c>
      <c r="F167" s="408">
        <v>43116</v>
      </c>
      <c r="G167" s="410">
        <v>1</v>
      </c>
      <c r="H167" s="408">
        <v>43116</v>
      </c>
      <c r="I167" s="412">
        <v>43116</v>
      </c>
      <c r="J167" s="410">
        <v>1</v>
      </c>
      <c r="K167" s="412">
        <v>43116</v>
      </c>
      <c r="L167" s="414"/>
      <c r="M167" s="416">
        <v>1</v>
      </c>
      <c r="N167" s="418">
        <f>1/3</f>
        <v>0.33333333333333331</v>
      </c>
      <c r="O167" s="418">
        <f t="shared" si="3"/>
        <v>0.33333333333333331</v>
      </c>
      <c r="P167" s="418">
        <f t="shared" ref="P167:P197" si="5">G167*N167*IF($P$3&lt;F167,0,IF(H167&lt;$P$3,1,($P$3-F167+1)/(H167-F167+1)))</f>
        <v>0.33333333333333331</v>
      </c>
      <c r="Q167" s="418">
        <f t="shared" si="4"/>
        <v>0.33333333333333331</v>
      </c>
      <c r="R167" s="405"/>
      <c r="S167" s="519"/>
      <c r="T167" s="420" t="s">
        <v>483</v>
      </c>
      <c r="U167" s="493" t="s">
        <v>489</v>
      </c>
      <c r="V167" s="473"/>
      <c r="W167" s="478"/>
      <c r="X167" s="487"/>
      <c r="Y167" s="473"/>
      <c r="Z167" s="478"/>
      <c r="AA167" s="483"/>
      <c r="AB167" s="487"/>
      <c r="AC167" s="473"/>
      <c r="AD167" s="478"/>
      <c r="AE167" s="483"/>
      <c r="AF167" s="483"/>
      <c r="AG167" s="487"/>
      <c r="AH167" s="473"/>
      <c r="AI167" s="478"/>
      <c r="AJ167" s="483"/>
      <c r="AK167" s="487"/>
      <c r="AL167" s="473"/>
      <c r="AM167" s="478"/>
      <c r="AN167" s="492"/>
    </row>
    <row r="168" spans="2:40" customFormat="1" ht="20.100000000000001" customHeight="1">
      <c r="B168" s="402"/>
      <c r="C168" s="402"/>
      <c r="D168" s="405" t="str">
        <f>D162&amp;"-04"</f>
        <v>D0402-04</v>
      </c>
      <c r="E168" s="407" t="s">
        <v>353</v>
      </c>
      <c r="F168" s="408">
        <v>43116</v>
      </c>
      <c r="G168" s="410">
        <v>1</v>
      </c>
      <c r="H168" s="408">
        <v>43116</v>
      </c>
      <c r="I168" s="412">
        <v>43116</v>
      </c>
      <c r="J168" s="410">
        <v>1</v>
      </c>
      <c r="K168" s="412">
        <v>43116</v>
      </c>
      <c r="L168" s="414"/>
      <c r="M168" s="416">
        <v>1</v>
      </c>
      <c r="N168" s="418">
        <f>1/3</f>
        <v>0.33333333333333331</v>
      </c>
      <c r="O168" s="418">
        <f t="shared" si="3"/>
        <v>0.33333333333333331</v>
      </c>
      <c r="P168" s="418">
        <f t="shared" si="5"/>
        <v>0.33333333333333331</v>
      </c>
      <c r="Q168" s="418">
        <f t="shared" si="4"/>
        <v>0.33333333333333331</v>
      </c>
      <c r="R168" s="405"/>
      <c r="S168" s="519"/>
      <c r="T168" s="420" t="s">
        <v>483</v>
      </c>
      <c r="U168" s="493" t="s">
        <v>489</v>
      </c>
      <c r="V168" s="473"/>
      <c r="W168" s="478"/>
      <c r="X168" s="487"/>
      <c r="Y168" s="473"/>
      <c r="Z168" s="478"/>
      <c r="AA168" s="483"/>
      <c r="AB168" s="487"/>
      <c r="AC168" s="473"/>
      <c r="AD168" s="478"/>
      <c r="AE168" s="483"/>
      <c r="AF168" s="483"/>
      <c r="AG168" s="487"/>
      <c r="AH168" s="473"/>
      <c r="AI168" s="478"/>
      <c r="AJ168" s="483"/>
      <c r="AK168" s="487"/>
      <c r="AL168" s="473"/>
      <c r="AM168" s="478"/>
      <c r="AN168" s="492"/>
    </row>
    <row r="169" spans="2:40" customFormat="1" ht="20.100000000000001" customHeight="1">
      <c r="B169" s="402"/>
      <c r="C169" s="402"/>
      <c r="D169" s="405" t="str">
        <f>D162&amp;"-05"</f>
        <v>D0402-05</v>
      </c>
      <c r="E169" s="407" t="s">
        <v>354</v>
      </c>
      <c r="F169" s="408">
        <v>43118</v>
      </c>
      <c r="G169" s="410">
        <v>1</v>
      </c>
      <c r="H169" s="408">
        <v>43118</v>
      </c>
      <c r="I169" s="412">
        <v>43116</v>
      </c>
      <c r="J169" s="410">
        <v>1</v>
      </c>
      <c r="K169" s="412">
        <v>43116</v>
      </c>
      <c r="L169" s="414"/>
      <c r="M169" s="416">
        <v>1</v>
      </c>
      <c r="N169" s="418">
        <f>1/3</f>
        <v>0.33333333333333331</v>
      </c>
      <c r="O169" s="418">
        <f t="shared" si="3"/>
        <v>0.33333333333333331</v>
      </c>
      <c r="P169" s="418">
        <f t="shared" si="5"/>
        <v>0.33333333333333331</v>
      </c>
      <c r="Q169" s="418">
        <f t="shared" si="4"/>
        <v>0.33333333333333331</v>
      </c>
      <c r="R169" s="405"/>
      <c r="S169" s="519"/>
      <c r="T169" s="420" t="s">
        <v>483</v>
      </c>
      <c r="U169" s="493" t="s">
        <v>489</v>
      </c>
      <c r="V169" s="473"/>
      <c r="W169" s="478"/>
      <c r="X169" s="487"/>
      <c r="Y169" s="473"/>
      <c r="Z169" s="478"/>
      <c r="AA169" s="483"/>
      <c r="AB169" s="487"/>
      <c r="AC169" s="473"/>
      <c r="AD169" s="478"/>
      <c r="AE169" s="483"/>
      <c r="AF169" s="483"/>
      <c r="AG169" s="487"/>
      <c r="AH169" s="473"/>
      <c r="AI169" s="478"/>
      <c r="AJ169" s="483"/>
      <c r="AK169" s="487"/>
      <c r="AL169" s="473"/>
      <c r="AM169" s="478"/>
      <c r="AN169" s="492"/>
    </row>
    <row r="170" spans="2:40" customFormat="1" ht="20.100000000000001" customHeight="1">
      <c r="B170" s="402"/>
      <c r="C170" s="430" t="s">
        <v>366</v>
      </c>
      <c r="D170" s="405" t="s">
        <v>379</v>
      </c>
      <c r="E170" s="407" t="str">
        <f>C170</f>
        <v>拠点別収支表</v>
      </c>
      <c r="F170" s="408">
        <f>MIN(F171:F177)</f>
        <v>43112</v>
      </c>
      <c r="G170" s="410">
        <v>4</v>
      </c>
      <c r="H170" s="408">
        <f>MAX(H171:H177)</f>
        <v>43117</v>
      </c>
      <c r="I170" s="412">
        <v>43116</v>
      </c>
      <c r="J170" s="410">
        <v>2</v>
      </c>
      <c r="K170" s="412">
        <v>43117</v>
      </c>
      <c r="L170" s="414"/>
      <c r="M170" s="416"/>
      <c r="N170" s="418"/>
      <c r="O170" s="418">
        <f t="shared" si="3"/>
        <v>0</v>
      </c>
      <c r="P170" s="418">
        <f t="shared" si="5"/>
        <v>0</v>
      </c>
      <c r="Q170" s="418">
        <f t="shared" si="4"/>
        <v>0</v>
      </c>
      <c r="R170" s="405"/>
      <c r="S170" s="401" t="s">
        <v>386</v>
      </c>
      <c r="T170" s="420" t="s">
        <v>85</v>
      </c>
      <c r="U170" s="281" t="s">
        <v>487</v>
      </c>
      <c r="V170" s="473"/>
      <c r="W170" s="478"/>
      <c r="X170" s="487"/>
      <c r="Y170" s="473"/>
      <c r="Z170" s="478"/>
      <c r="AA170" s="483"/>
      <c r="AB170" s="487"/>
      <c r="AC170" s="473"/>
      <c r="AD170" s="478"/>
      <c r="AE170" s="483"/>
      <c r="AF170" s="483"/>
      <c r="AG170" s="487"/>
      <c r="AH170" s="473"/>
      <c r="AI170" s="478"/>
      <c r="AJ170" s="483"/>
      <c r="AK170" s="487"/>
      <c r="AL170" s="473"/>
      <c r="AM170" s="478"/>
      <c r="AN170" s="492"/>
    </row>
    <row r="171" spans="2:40" customFormat="1" ht="20.100000000000001" customHeight="1">
      <c r="B171" s="402"/>
      <c r="C171" s="402"/>
      <c r="D171" s="405" t="str">
        <f>D170&amp;"-01"</f>
        <v>D0102-01</v>
      </c>
      <c r="E171" s="407" t="s">
        <v>351</v>
      </c>
      <c r="F171" s="408">
        <f>H47+1</f>
        <v>43112</v>
      </c>
      <c r="G171" s="410">
        <v>1</v>
      </c>
      <c r="H171" s="408">
        <v>43112</v>
      </c>
      <c r="I171" s="412">
        <v>43116</v>
      </c>
      <c r="J171" s="410">
        <v>1</v>
      </c>
      <c r="K171" s="412">
        <v>43116</v>
      </c>
      <c r="L171" s="414"/>
      <c r="M171" s="416">
        <v>1</v>
      </c>
      <c r="N171" s="418">
        <f>3/4</f>
        <v>0.75</v>
      </c>
      <c r="O171" s="418">
        <f t="shared" si="3"/>
        <v>0.75</v>
      </c>
      <c r="P171" s="418">
        <f t="shared" si="5"/>
        <v>0.75</v>
      </c>
      <c r="Q171" s="418">
        <f t="shared" si="4"/>
        <v>0.75</v>
      </c>
      <c r="R171" s="405"/>
      <c r="S171" s="426"/>
      <c r="T171" s="420" t="s">
        <v>382</v>
      </c>
      <c r="U171" s="493" t="s">
        <v>489</v>
      </c>
      <c r="V171" s="473"/>
      <c r="W171" s="478"/>
      <c r="X171" s="487"/>
      <c r="Y171" s="473"/>
      <c r="Z171" s="478"/>
      <c r="AA171" s="483"/>
      <c r="AB171" s="487"/>
      <c r="AC171" s="473"/>
      <c r="AD171" s="478"/>
      <c r="AE171" s="483"/>
      <c r="AF171" s="483"/>
      <c r="AG171" s="487"/>
      <c r="AH171" s="473"/>
      <c r="AI171" s="478"/>
      <c r="AJ171" s="483"/>
      <c r="AK171" s="487"/>
      <c r="AL171" s="473"/>
      <c r="AM171" s="478"/>
      <c r="AN171" s="492"/>
    </row>
    <row r="172" spans="2:40" customFormat="1" ht="20.100000000000001" customHeight="1">
      <c r="B172" s="402"/>
      <c r="C172" s="402"/>
      <c r="D172" s="405" t="str">
        <f>D170&amp;"-02"</f>
        <v>D0102-02</v>
      </c>
      <c r="E172" s="407" t="s">
        <v>347</v>
      </c>
      <c r="F172" s="408">
        <f>F171</f>
        <v>43112</v>
      </c>
      <c r="G172" s="410">
        <v>2</v>
      </c>
      <c r="H172" s="408">
        <v>43115</v>
      </c>
      <c r="I172" s="412">
        <v>43116</v>
      </c>
      <c r="J172" s="410">
        <v>1</v>
      </c>
      <c r="K172" s="412">
        <v>43116</v>
      </c>
      <c r="L172" s="414"/>
      <c r="M172" s="416">
        <v>1</v>
      </c>
      <c r="N172" s="418">
        <f>3/4</f>
        <v>0.75</v>
      </c>
      <c r="O172" s="418">
        <f t="shared" si="3"/>
        <v>1.5</v>
      </c>
      <c r="P172" s="418">
        <f t="shared" si="5"/>
        <v>1.5</v>
      </c>
      <c r="Q172" s="418">
        <f t="shared" si="4"/>
        <v>1.5</v>
      </c>
      <c r="R172" s="405"/>
      <c r="S172" s="426"/>
      <c r="T172" s="420" t="s">
        <v>382</v>
      </c>
      <c r="U172" s="493" t="s">
        <v>489</v>
      </c>
      <c r="V172" s="473"/>
      <c r="W172" s="478"/>
      <c r="X172" s="487"/>
      <c r="Y172" s="473"/>
      <c r="Z172" s="478"/>
      <c r="AA172" s="483"/>
      <c r="AB172" s="487"/>
      <c r="AC172" s="473"/>
      <c r="AD172" s="478"/>
      <c r="AE172" s="483"/>
      <c r="AF172" s="483"/>
      <c r="AG172" s="487"/>
      <c r="AH172" s="473"/>
      <c r="AI172" s="478"/>
      <c r="AJ172" s="483"/>
      <c r="AK172" s="487"/>
      <c r="AL172" s="473"/>
      <c r="AM172" s="478"/>
      <c r="AN172" s="492"/>
    </row>
    <row r="173" spans="2:40" customFormat="1" ht="20.100000000000001" customHeight="1">
      <c r="B173" s="402"/>
      <c r="C173" s="402"/>
      <c r="D173" s="405"/>
      <c r="E173" s="407" t="s">
        <v>440</v>
      </c>
      <c r="F173" s="408">
        <f>F172</f>
        <v>43112</v>
      </c>
      <c r="G173" s="410">
        <v>2</v>
      </c>
      <c r="H173" s="408">
        <v>43115</v>
      </c>
      <c r="I173" s="412">
        <v>43116</v>
      </c>
      <c r="J173" s="410">
        <v>1</v>
      </c>
      <c r="K173" s="412">
        <v>43116</v>
      </c>
      <c r="L173" s="414"/>
      <c r="M173" s="416">
        <v>1</v>
      </c>
      <c r="N173" s="418"/>
      <c r="O173" s="418"/>
      <c r="P173" s="418"/>
      <c r="Q173" s="418"/>
      <c r="R173" s="405"/>
      <c r="S173" s="426"/>
      <c r="T173" s="420" t="s">
        <v>382</v>
      </c>
      <c r="U173" s="493" t="s">
        <v>496</v>
      </c>
      <c r="V173" s="473"/>
      <c r="W173" s="478"/>
      <c r="X173" s="487"/>
      <c r="Y173" s="473"/>
      <c r="Z173" s="478"/>
      <c r="AA173" s="483"/>
      <c r="AB173" s="487"/>
      <c r="AC173" s="473"/>
      <c r="AD173" s="478"/>
      <c r="AE173" s="483"/>
      <c r="AF173" s="483"/>
      <c r="AG173" s="487"/>
      <c r="AH173" s="473"/>
      <c r="AI173" s="478"/>
      <c r="AJ173" s="483"/>
      <c r="AK173" s="487"/>
      <c r="AL173" s="473"/>
      <c r="AM173" s="478"/>
      <c r="AN173" s="492"/>
    </row>
    <row r="174" spans="2:40" customFormat="1" ht="20.100000000000001" customHeight="1">
      <c r="B174" s="402"/>
      <c r="C174" s="402"/>
      <c r="D174" s="405" t="s">
        <v>441</v>
      </c>
      <c r="E174" s="407" t="s">
        <v>480</v>
      </c>
      <c r="F174" s="408">
        <f>F173</f>
        <v>43112</v>
      </c>
      <c r="G174" s="410">
        <v>2</v>
      </c>
      <c r="H174" s="408">
        <v>43115</v>
      </c>
      <c r="I174" s="412">
        <v>43116</v>
      </c>
      <c r="J174" s="410">
        <v>1</v>
      </c>
      <c r="K174" s="412">
        <v>43116</v>
      </c>
      <c r="L174" s="414"/>
      <c r="M174" s="416">
        <v>1</v>
      </c>
      <c r="N174" s="418"/>
      <c r="O174" s="418"/>
      <c r="P174" s="418"/>
      <c r="Q174" s="418"/>
      <c r="R174" s="405"/>
      <c r="S174" s="426"/>
      <c r="T174" s="420" t="s">
        <v>382</v>
      </c>
      <c r="U174" s="493" t="s">
        <v>489</v>
      </c>
      <c r="V174" s="473"/>
      <c r="W174" s="478"/>
      <c r="X174" s="487"/>
      <c r="Y174" s="473"/>
      <c r="Z174" s="478"/>
      <c r="AA174" s="483"/>
      <c r="AB174" s="487"/>
      <c r="AC174" s="473"/>
      <c r="AD174" s="478"/>
      <c r="AE174" s="483"/>
      <c r="AF174" s="483"/>
      <c r="AG174" s="487"/>
      <c r="AH174" s="473"/>
      <c r="AI174" s="478"/>
      <c r="AJ174" s="483"/>
      <c r="AK174" s="487"/>
      <c r="AL174" s="473"/>
      <c r="AM174" s="478"/>
      <c r="AN174" s="492"/>
    </row>
    <row r="175" spans="2:40" customFormat="1" ht="20.100000000000001" customHeight="1">
      <c r="B175" s="402"/>
      <c r="C175" s="402"/>
      <c r="D175" s="405" t="str">
        <f>D170&amp;"-03"</f>
        <v>D0102-03</v>
      </c>
      <c r="E175" s="407" t="s">
        <v>352</v>
      </c>
      <c r="F175" s="408">
        <f>H172+1</f>
        <v>43116</v>
      </c>
      <c r="G175" s="410">
        <v>1</v>
      </c>
      <c r="H175" s="408">
        <v>43116</v>
      </c>
      <c r="I175" s="412">
        <v>43116</v>
      </c>
      <c r="J175" s="410">
        <v>1</v>
      </c>
      <c r="K175" s="412">
        <v>43116</v>
      </c>
      <c r="L175" s="414"/>
      <c r="M175" s="416">
        <v>1</v>
      </c>
      <c r="N175" s="418">
        <f>1/2</f>
        <v>0.5</v>
      </c>
      <c r="O175" s="418">
        <f t="shared" si="3"/>
        <v>0.5</v>
      </c>
      <c r="P175" s="418">
        <f t="shared" si="5"/>
        <v>0.5</v>
      </c>
      <c r="Q175" s="418">
        <f t="shared" si="4"/>
        <v>0.5</v>
      </c>
      <c r="R175" s="405"/>
      <c r="S175" s="426"/>
      <c r="T175" s="420" t="s">
        <v>382</v>
      </c>
      <c r="U175" s="493" t="s">
        <v>489</v>
      </c>
      <c r="V175" s="473"/>
      <c r="W175" s="478"/>
      <c r="X175" s="487"/>
      <c r="Y175" s="473"/>
      <c r="Z175" s="478"/>
      <c r="AA175" s="483"/>
      <c r="AB175" s="487"/>
      <c r="AC175" s="473"/>
      <c r="AD175" s="478"/>
      <c r="AE175" s="483"/>
      <c r="AF175" s="483"/>
      <c r="AG175" s="487"/>
      <c r="AH175" s="473"/>
      <c r="AI175" s="478"/>
      <c r="AJ175" s="483"/>
      <c r="AK175" s="487"/>
      <c r="AL175" s="473"/>
      <c r="AM175" s="478"/>
      <c r="AN175" s="492"/>
    </row>
    <row r="176" spans="2:40" customFormat="1" ht="20.100000000000001" customHeight="1">
      <c r="B176" s="402"/>
      <c r="C176" s="402"/>
      <c r="D176" s="405" t="str">
        <f>D170&amp;"-04"</f>
        <v>D0102-04</v>
      </c>
      <c r="E176" s="407" t="s">
        <v>353</v>
      </c>
      <c r="F176" s="408">
        <f>H172+1</f>
        <v>43116</v>
      </c>
      <c r="G176" s="410">
        <v>1</v>
      </c>
      <c r="H176" s="408">
        <v>43116</v>
      </c>
      <c r="I176" s="412">
        <v>43116</v>
      </c>
      <c r="J176" s="410">
        <v>2</v>
      </c>
      <c r="K176" s="412">
        <v>43117</v>
      </c>
      <c r="L176" s="414"/>
      <c r="M176" s="416">
        <v>1</v>
      </c>
      <c r="N176" s="418">
        <f>1/2</f>
        <v>0.5</v>
      </c>
      <c r="O176" s="418">
        <f t="shared" ref="O176:O197" si="6">G176*N176</f>
        <v>0.5</v>
      </c>
      <c r="P176" s="418">
        <f t="shared" si="5"/>
        <v>0.5</v>
      </c>
      <c r="Q176" s="418">
        <f t="shared" ref="Q176:Q197" si="7">G176*N176*M176</f>
        <v>0.5</v>
      </c>
      <c r="R176" s="405"/>
      <c r="S176" s="426"/>
      <c r="T176" s="420" t="s">
        <v>382</v>
      </c>
      <c r="U176" s="493" t="s">
        <v>489</v>
      </c>
      <c r="V176" s="473"/>
      <c r="W176" s="478"/>
      <c r="X176" s="487"/>
      <c r="Y176" s="473"/>
      <c r="Z176" s="478"/>
      <c r="AA176" s="483"/>
      <c r="AB176" s="487"/>
      <c r="AC176" s="473"/>
      <c r="AD176" s="478"/>
      <c r="AE176" s="483"/>
      <c r="AF176" s="483"/>
      <c r="AG176" s="487"/>
      <c r="AH176" s="473"/>
      <c r="AI176" s="478"/>
      <c r="AJ176" s="483"/>
      <c r="AK176" s="487"/>
      <c r="AL176" s="473"/>
      <c r="AM176" s="478"/>
      <c r="AN176" s="492"/>
    </row>
    <row r="177" spans="2:40" customFormat="1" ht="20.100000000000001" customHeight="1">
      <c r="B177" s="402"/>
      <c r="C177" s="402"/>
      <c r="D177" s="405" t="str">
        <f>D170&amp;"-05"</f>
        <v>D0102-05</v>
      </c>
      <c r="E177" s="407" t="s">
        <v>354</v>
      </c>
      <c r="F177" s="408">
        <f>H176+1</f>
        <v>43117</v>
      </c>
      <c r="G177" s="410">
        <v>1</v>
      </c>
      <c r="H177" s="408">
        <v>43117</v>
      </c>
      <c r="I177" s="412">
        <v>43117</v>
      </c>
      <c r="J177" s="410">
        <v>1</v>
      </c>
      <c r="K177" s="412">
        <v>43117</v>
      </c>
      <c r="L177" s="414"/>
      <c r="M177" s="416">
        <v>1</v>
      </c>
      <c r="N177" s="418">
        <v>1</v>
      </c>
      <c r="O177" s="418">
        <f t="shared" si="6"/>
        <v>1</v>
      </c>
      <c r="P177" s="418">
        <f t="shared" si="5"/>
        <v>1</v>
      </c>
      <c r="Q177" s="418">
        <f t="shared" si="7"/>
        <v>1</v>
      </c>
      <c r="R177" s="405"/>
      <c r="S177" s="426"/>
      <c r="T177" s="420" t="s">
        <v>382</v>
      </c>
      <c r="U177" s="493" t="s">
        <v>489</v>
      </c>
      <c r="V177" s="473"/>
      <c r="W177" s="478"/>
      <c r="X177" s="487"/>
      <c r="Y177" s="473"/>
      <c r="Z177" s="478"/>
      <c r="AA177" s="483"/>
      <c r="AB177" s="487"/>
      <c r="AC177" s="473"/>
      <c r="AD177" s="478"/>
      <c r="AE177" s="483"/>
      <c r="AF177" s="483"/>
      <c r="AG177" s="487"/>
      <c r="AH177" s="473"/>
      <c r="AI177" s="478"/>
      <c r="AJ177" s="483"/>
      <c r="AK177" s="487"/>
      <c r="AL177" s="473"/>
      <c r="AM177" s="478"/>
      <c r="AN177" s="492"/>
    </row>
    <row r="178" spans="2:40" customFormat="1" ht="20.100000000000001" customHeight="1">
      <c r="B178" s="402"/>
      <c r="C178" s="424" t="s">
        <v>367</v>
      </c>
      <c r="D178" s="405" t="s">
        <v>380</v>
      </c>
      <c r="E178" s="407" t="str">
        <f>C178</f>
        <v>出荷期限超え見込みレポート</v>
      </c>
      <c r="F178" s="408">
        <f>MIN(F179:F189)</f>
        <v>43112</v>
      </c>
      <c r="G178" s="410">
        <v>4</v>
      </c>
      <c r="H178" s="408">
        <f>MAX(H179:H189)</f>
        <v>43117</v>
      </c>
      <c r="I178" s="412"/>
      <c r="J178" s="410"/>
      <c r="K178" s="412"/>
      <c r="L178" s="414"/>
      <c r="M178" s="416"/>
      <c r="N178" s="418"/>
      <c r="O178" s="418">
        <f t="shared" si="6"/>
        <v>0</v>
      </c>
      <c r="P178" s="418">
        <f t="shared" si="5"/>
        <v>0</v>
      </c>
      <c r="Q178" s="418">
        <f t="shared" si="7"/>
        <v>0</v>
      </c>
      <c r="R178" s="405"/>
      <c r="S178" s="401" t="s">
        <v>386</v>
      </c>
      <c r="T178" s="420" t="s">
        <v>85</v>
      </c>
      <c r="U178" s="281" t="s">
        <v>487</v>
      </c>
      <c r="V178" s="473"/>
      <c r="W178" s="478"/>
      <c r="X178" s="487"/>
      <c r="Y178" s="473"/>
      <c r="Z178" s="478"/>
      <c r="AA178" s="483"/>
      <c r="AB178" s="487"/>
      <c r="AC178" s="473"/>
      <c r="AD178" s="478"/>
      <c r="AE178" s="483"/>
      <c r="AF178" s="483"/>
      <c r="AG178" s="487"/>
      <c r="AH178" s="473"/>
      <c r="AI178" s="478"/>
      <c r="AJ178" s="483"/>
      <c r="AK178" s="487"/>
      <c r="AL178" s="473"/>
      <c r="AM178" s="478"/>
      <c r="AN178" s="492"/>
    </row>
    <row r="179" spans="2:40" customFormat="1" ht="20.100000000000001" customHeight="1">
      <c r="B179" s="402"/>
      <c r="C179" s="402"/>
      <c r="D179" s="405" t="str">
        <f>D178&amp;"-01"</f>
        <v>D0110-01</v>
      </c>
      <c r="E179" s="407" t="s">
        <v>351</v>
      </c>
      <c r="F179" s="408">
        <f>H161+1</f>
        <v>43112</v>
      </c>
      <c r="G179" s="410">
        <v>1</v>
      </c>
      <c r="H179" s="408">
        <v>43112</v>
      </c>
      <c r="I179" s="412">
        <v>43109</v>
      </c>
      <c r="J179" s="410">
        <v>1</v>
      </c>
      <c r="K179" s="412">
        <v>43109</v>
      </c>
      <c r="L179" s="414"/>
      <c r="M179" s="416">
        <v>1</v>
      </c>
      <c r="N179" s="418">
        <f>2/3</f>
        <v>0.66666666666666663</v>
      </c>
      <c r="O179" s="418">
        <f t="shared" si="6"/>
        <v>0.66666666666666663</v>
      </c>
      <c r="P179" s="418">
        <f t="shared" si="5"/>
        <v>0.66666666666666663</v>
      </c>
      <c r="Q179" s="418">
        <f t="shared" si="7"/>
        <v>0.66666666666666663</v>
      </c>
      <c r="R179" s="405"/>
      <c r="S179" s="427"/>
      <c r="T179" s="420" t="s">
        <v>383</v>
      </c>
      <c r="U179" s="493" t="s">
        <v>489</v>
      </c>
      <c r="V179" s="473"/>
      <c r="W179" s="478"/>
      <c r="X179" s="487"/>
      <c r="Y179" s="473"/>
      <c r="Z179" s="478"/>
      <c r="AA179" s="483"/>
      <c r="AB179" s="487"/>
      <c r="AC179" s="473"/>
      <c r="AD179" s="478"/>
      <c r="AE179" s="483"/>
      <c r="AF179" s="483"/>
      <c r="AG179" s="487"/>
      <c r="AH179" s="473"/>
      <c r="AI179" s="478"/>
      <c r="AJ179" s="483"/>
      <c r="AK179" s="487"/>
      <c r="AL179" s="473"/>
      <c r="AM179" s="478"/>
      <c r="AN179" s="492"/>
    </row>
    <row r="180" spans="2:40" customFormat="1" ht="20.100000000000001" customHeight="1">
      <c r="B180" s="402"/>
      <c r="C180" s="402"/>
      <c r="D180" s="405" t="str">
        <f>D178&amp;"-02"</f>
        <v>D0110-02</v>
      </c>
      <c r="E180" s="407" t="s">
        <v>347</v>
      </c>
      <c r="F180" s="408">
        <f>H160+1</f>
        <v>43112</v>
      </c>
      <c r="G180" s="410">
        <v>2</v>
      </c>
      <c r="H180" s="408">
        <v>43115</v>
      </c>
      <c r="I180" s="412">
        <v>43109</v>
      </c>
      <c r="J180" s="410">
        <v>1</v>
      </c>
      <c r="K180" s="412">
        <v>43109</v>
      </c>
      <c r="L180" s="414"/>
      <c r="M180" s="416">
        <v>1</v>
      </c>
      <c r="N180" s="418">
        <f>2/3</f>
        <v>0.66666666666666663</v>
      </c>
      <c r="O180" s="418">
        <f t="shared" si="6"/>
        <v>1.3333333333333333</v>
      </c>
      <c r="P180" s="418">
        <f t="shared" si="5"/>
        <v>1.3333333333333333</v>
      </c>
      <c r="Q180" s="418">
        <f t="shared" si="7"/>
        <v>1.3333333333333333</v>
      </c>
      <c r="R180" s="405"/>
      <c r="S180" s="427"/>
      <c r="T180" s="420" t="s">
        <v>383</v>
      </c>
      <c r="U180" s="493" t="s">
        <v>489</v>
      </c>
      <c r="V180" s="473"/>
      <c r="W180" s="478"/>
      <c r="X180" s="487"/>
      <c r="Y180" s="473"/>
      <c r="Z180" s="478"/>
      <c r="AA180" s="483"/>
      <c r="AB180" s="487"/>
      <c r="AC180" s="473"/>
      <c r="AD180" s="478"/>
      <c r="AE180" s="483"/>
      <c r="AF180" s="483"/>
      <c r="AG180" s="487"/>
      <c r="AH180" s="473"/>
      <c r="AI180" s="478"/>
      <c r="AJ180" s="483"/>
      <c r="AK180" s="487"/>
      <c r="AL180" s="473"/>
      <c r="AM180" s="478"/>
      <c r="AN180" s="492"/>
    </row>
    <row r="181" spans="2:40" customFormat="1" ht="20.100000000000001" customHeight="1">
      <c r="B181" s="402"/>
      <c r="C181" s="402"/>
      <c r="D181" s="405"/>
      <c r="E181" s="407" t="s">
        <v>439</v>
      </c>
      <c r="F181" s="408">
        <f>F180</f>
        <v>43112</v>
      </c>
      <c r="G181" s="410">
        <v>1</v>
      </c>
      <c r="H181" s="408">
        <v>43112</v>
      </c>
      <c r="I181" s="412">
        <v>43109</v>
      </c>
      <c r="J181" s="410">
        <v>1</v>
      </c>
      <c r="K181" s="412">
        <v>43109</v>
      </c>
      <c r="L181" s="414"/>
      <c r="M181" s="416">
        <v>1</v>
      </c>
      <c r="N181" s="418"/>
      <c r="O181" s="418"/>
      <c r="P181" s="418"/>
      <c r="Q181" s="418"/>
      <c r="R181" s="405"/>
      <c r="S181" s="427"/>
      <c r="T181" s="420" t="s">
        <v>383</v>
      </c>
      <c r="U181" s="493" t="s">
        <v>489</v>
      </c>
      <c r="V181" s="473"/>
      <c r="W181" s="478"/>
      <c r="X181" s="487"/>
      <c r="Y181" s="473"/>
      <c r="Z181" s="478"/>
      <c r="AA181" s="483"/>
      <c r="AB181" s="487"/>
      <c r="AC181" s="473"/>
      <c r="AD181" s="478"/>
      <c r="AE181" s="483"/>
      <c r="AF181" s="483"/>
      <c r="AG181" s="487"/>
      <c r="AH181" s="473"/>
      <c r="AI181" s="478"/>
      <c r="AJ181" s="483"/>
      <c r="AK181" s="487"/>
      <c r="AL181" s="473"/>
      <c r="AM181" s="478"/>
      <c r="AN181" s="492"/>
    </row>
    <row r="182" spans="2:40" customFormat="1" ht="20.100000000000001" customHeight="1">
      <c r="B182" s="402"/>
      <c r="C182" s="402"/>
      <c r="D182" s="405"/>
      <c r="E182" s="407" t="s">
        <v>440</v>
      </c>
      <c r="F182" s="408">
        <f>H180</f>
        <v>43115</v>
      </c>
      <c r="G182" s="410">
        <v>1</v>
      </c>
      <c r="H182" s="408">
        <v>43115</v>
      </c>
      <c r="I182" s="412">
        <v>43109</v>
      </c>
      <c r="J182" s="410">
        <v>1</v>
      </c>
      <c r="K182" s="412">
        <v>43109</v>
      </c>
      <c r="L182" s="414"/>
      <c r="M182" s="416">
        <v>1</v>
      </c>
      <c r="N182" s="418"/>
      <c r="O182" s="418"/>
      <c r="P182" s="418"/>
      <c r="Q182" s="418"/>
      <c r="R182" s="405"/>
      <c r="S182" s="427"/>
      <c r="T182" s="420" t="s">
        <v>383</v>
      </c>
      <c r="U182" s="493" t="s">
        <v>496</v>
      </c>
      <c r="V182" s="473"/>
      <c r="W182" s="478"/>
      <c r="X182" s="487"/>
      <c r="Y182" s="473"/>
      <c r="Z182" s="478"/>
      <c r="AA182" s="483"/>
      <c r="AB182" s="487"/>
      <c r="AC182" s="473"/>
      <c r="AD182" s="478"/>
      <c r="AE182" s="483"/>
      <c r="AF182" s="483"/>
      <c r="AG182" s="487"/>
      <c r="AH182" s="473"/>
      <c r="AI182" s="478"/>
      <c r="AJ182" s="483"/>
      <c r="AK182" s="487"/>
      <c r="AL182" s="473"/>
      <c r="AM182" s="478"/>
      <c r="AN182" s="492"/>
    </row>
    <row r="183" spans="2:40" customFormat="1" ht="20.100000000000001" customHeight="1">
      <c r="B183" s="402"/>
      <c r="C183" s="402"/>
      <c r="D183" s="405" t="s">
        <v>441</v>
      </c>
      <c r="E183" s="407" t="s">
        <v>428</v>
      </c>
      <c r="F183" s="408">
        <f>F181</f>
        <v>43112</v>
      </c>
      <c r="G183" s="410">
        <v>1</v>
      </c>
      <c r="H183" s="408">
        <v>43112</v>
      </c>
      <c r="I183" s="412">
        <v>43109</v>
      </c>
      <c r="J183" s="410">
        <v>1</v>
      </c>
      <c r="K183" s="412">
        <v>43109</v>
      </c>
      <c r="L183" s="414"/>
      <c r="M183" s="416">
        <v>1</v>
      </c>
      <c r="N183" s="418"/>
      <c r="O183" s="418"/>
      <c r="P183" s="418"/>
      <c r="Q183" s="418"/>
      <c r="R183" s="405"/>
      <c r="S183" s="427"/>
      <c r="T183" s="420" t="s">
        <v>383</v>
      </c>
      <c r="U183" s="493" t="s">
        <v>489</v>
      </c>
      <c r="V183" s="473"/>
      <c r="W183" s="478"/>
      <c r="X183" s="487"/>
      <c r="Y183" s="473"/>
      <c r="Z183" s="478"/>
      <c r="AA183" s="483"/>
      <c r="AB183" s="487"/>
      <c r="AC183" s="473"/>
      <c r="AD183" s="478"/>
      <c r="AE183" s="483"/>
      <c r="AF183" s="483"/>
      <c r="AG183" s="487"/>
      <c r="AH183" s="473"/>
      <c r="AI183" s="478"/>
      <c r="AJ183" s="483"/>
      <c r="AK183" s="487"/>
      <c r="AL183" s="473"/>
      <c r="AM183" s="478"/>
      <c r="AN183" s="492"/>
    </row>
    <row r="184" spans="2:40" customFormat="1" ht="20.100000000000001" customHeight="1">
      <c r="B184" s="402"/>
      <c r="C184" s="402"/>
      <c r="D184" s="405"/>
      <c r="E184" s="407" t="s">
        <v>478</v>
      </c>
      <c r="F184" s="408">
        <f>F183</f>
        <v>43112</v>
      </c>
      <c r="G184" s="410">
        <v>1</v>
      </c>
      <c r="H184" s="408">
        <v>43112</v>
      </c>
      <c r="I184" s="412">
        <v>43109</v>
      </c>
      <c r="J184" s="410">
        <v>1</v>
      </c>
      <c r="K184" s="412">
        <v>43109</v>
      </c>
      <c r="L184" s="414"/>
      <c r="M184" s="416">
        <v>1</v>
      </c>
      <c r="N184" s="418"/>
      <c r="O184" s="418"/>
      <c r="P184" s="418"/>
      <c r="Q184" s="418"/>
      <c r="R184" s="405"/>
      <c r="S184" s="427"/>
      <c r="T184" s="420" t="s">
        <v>383</v>
      </c>
      <c r="U184" s="493" t="s">
        <v>489</v>
      </c>
      <c r="V184" s="473"/>
      <c r="W184" s="478"/>
      <c r="X184" s="487"/>
      <c r="Y184" s="473"/>
      <c r="Z184" s="478"/>
      <c r="AA184" s="483"/>
      <c r="AB184" s="487"/>
      <c r="AC184" s="473"/>
      <c r="AD184" s="478"/>
      <c r="AE184" s="483"/>
      <c r="AF184" s="483"/>
      <c r="AG184" s="487"/>
      <c r="AH184" s="473"/>
      <c r="AI184" s="478"/>
      <c r="AJ184" s="483"/>
      <c r="AK184" s="487"/>
      <c r="AL184" s="473"/>
      <c r="AM184" s="478"/>
      <c r="AN184" s="492"/>
    </row>
    <row r="185" spans="2:40" customFormat="1" ht="20.100000000000001" customHeight="1">
      <c r="B185" s="402"/>
      <c r="C185" s="402"/>
      <c r="D185" s="405"/>
      <c r="E185" s="407" t="s">
        <v>481</v>
      </c>
      <c r="F185" s="408">
        <f>F184</f>
        <v>43112</v>
      </c>
      <c r="G185" s="410">
        <v>1</v>
      </c>
      <c r="H185" s="408">
        <v>43112</v>
      </c>
      <c r="I185" s="412">
        <v>43109</v>
      </c>
      <c r="J185" s="410">
        <v>1</v>
      </c>
      <c r="K185" s="412">
        <v>43109</v>
      </c>
      <c r="L185" s="414"/>
      <c r="M185" s="416">
        <v>1</v>
      </c>
      <c r="N185" s="418"/>
      <c r="O185" s="418"/>
      <c r="P185" s="418"/>
      <c r="Q185" s="418"/>
      <c r="R185" s="405"/>
      <c r="S185" s="427"/>
      <c r="T185" s="420" t="s">
        <v>383</v>
      </c>
      <c r="U185" s="493" t="s">
        <v>498</v>
      </c>
      <c r="V185" s="473"/>
      <c r="W185" s="478"/>
      <c r="X185" s="487"/>
      <c r="Y185" s="473"/>
      <c r="Z185" s="478"/>
      <c r="AA185" s="483"/>
      <c r="AB185" s="487"/>
      <c r="AC185" s="473"/>
      <c r="AD185" s="478"/>
      <c r="AE185" s="483"/>
      <c r="AF185" s="483"/>
      <c r="AG185" s="487"/>
      <c r="AH185" s="473"/>
      <c r="AI185" s="478"/>
      <c r="AJ185" s="483"/>
      <c r="AK185" s="487"/>
      <c r="AL185" s="473"/>
      <c r="AM185" s="478"/>
      <c r="AN185" s="492"/>
    </row>
    <row r="186" spans="2:40" customFormat="1" ht="20.100000000000001" customHeight="1">
      <c r="B186" s="402"/>
      <c r="C186" s="402"/>
      <c r="D186" s="405"/>
      <c r="E186" s="407" t="s">
        <v>482</v>
      </c>
      <c r="F186" s="408">
        <f>F182</f>
        <v>43115</v>
      </c>
      <c r="G186" s="410">
        <v>1</v>
      </c>
      <c r="H186" s="408">
        <v>43115</v>
      </c>
      <c r="I186" s="412">
        <v>43109</v>
      </c>
      <c r="J186" s="410">
        <v>1</v>
      </c>
      <c r="K186" s="412">
        <v>43109</v>
      </c>
      <c r="L186" s="414"/>
      <c r="M186" s="416">
        <v>1</v>
      </c>
      <c r="N186" s="418"/>
      <c r="O186" s="418"/>
      <c r="P186" s="418"/>
      <c r="Q186" s="418"/>
      <c r="R186" s="405"/>
      <c r="S186" s="427"/>
      <c r="T186" s="420" t="s">
        <v>383</v>
      </c>
      <c r="U186" s="493" t="s">
        <v>489</v>
      </c>
      <c r="V186" s="473"/>
      <c r="W186" s="478"/>
      <c r="X186" s="487"/>
      <c r="Y186" s="473"/>
      <c r="Z186" s="478"/>
      <c r="AA186" s="483"/>
      <c r="AB186" s="487"/>
      <c r="AC186" s="473"/>
      <c r="AD186" s="478"/>
      <c r="AE186" s="483"/>
      <c r="AF186" s="483"/>
      <c r="AG186" s="487"/>
      <c r="AH186" s="473"/>
      <c r="AI186" s="478"/>
      <c r="AJ186" s="483"/>
      <c r="AK186" s="487"/>
      <c r="AL186" s="473"/>
      <c r="AM186" s="478"/>
      <c r="AN186" s="492"/>
    </row>
    <row r="187" spans="2:40" customFormat="1" ht="20.100000000000001" customHeight="1">
      <c r="B187" s="402"/>
      <c r="C187" s="402"/>
      <c r="D187" s="405" t="str">
        <f>D178&amp;"-03"</f>
        <v>D0110-03</v>
      </c>
      <c r="E187" s="407" t="s">
        <v>352</v>
      </c>
      <c r="F187" s="408">
        <f>H180+1</f>
        <v>43116</v>
      </c>
      <c r="G187" s="410">
        <v>1</v>
      </c>
      <c r="H187" s="408">
        <v>43116</v>
      </c>
      <c r="I187" s="412">
        <v>43110</v>
      </c>
      <c r="J187" s="410">
        <v>1</v>
      </c>
      <c r="K187" s="412">
        <v>43110</v>
      </c>
      <c r="L187" s="414"/>
      <c r="M187" s="416">
        <v>1</v>
      </c>
      <c r="N187" s="418">
        <f>1/2</f>
        <v>0.5</v>
      </c>
      <c r="O187" s="418">
        <f t="shared" si="6"/>
        <v>0.5</v>
      </c>
      <c r="P187" s="418">
        <f t="shared" si="5"/>
        <v>0.5</v>
      </c>
      <c r="Q187" s="418">
        <f t="shared" si="7"/>
        <v>0.5</v>
      </c>
      <c r="R187" s="405"/>
      <c r="S187" s="427"/>
      <c r="T187" s="420" t="s">
        <v>383</v>
      </c>
      <c r="U187" s="493" t="s">
        <v>489</v>
      </c>
      <c r="V187" s="473"/>
      <c r="W187" s="478"/>
      <c r="X187" s="487"/>
      <c r="Y187" s="473"/>
      <c r="Z187" s="478"/>
      <c r="AA187" s="483"/>
      <c r="AB187" s="487"/>
      <c r="AC187" s="473"/>
      <c r="AD187" s="478"/>
      <c r="AE187" s="483"/>
      <c r="AF187" s="483"/>
      <c r="AG187" s="487"/>
      <c r="AH187" s="473"/>
      <c r="AI187" s="478"/>
      <c r="AJ187" s="483"/>
      <c r="AK187" s="487"/>
      <c r="AL187" s="473"/>
      <c r="AM187" s="478"/>
      <c r="AN187" s="492"/>
    </row>
    <row r="188" spans="2:40" customFormat="1" ht="20.100000000000001" customHeight="1">
      <c r="B188" s="402"/>
      <c r="C188" s="402"/>
      <c r="D188" s="405" t="str">
        <f>D178&amp;"-04"</f>
        <v>D0110-04</v>
      </c>
      <c r="E188" s="407" t="s">
        <v>353</v>
      </c>
      <c r="F188" s="408">
        <f>F187</f>
        <v>43116</v>
      </c>
      <c r="G188" s="410">
        <v>1</v>
      </c>
      <c r="H188" s="408">
        <v>43116</v>
      </c>
      <c r="I188" s="412">
        <v>43110</v>
      </c>
      <c r="J188" s="410">
        <v>1</v>
      </c>
      <c r="K188" s="412">
        <v>43110</v>
      </c>
      <c r="L188" s="414"/>
      <c r="M188" s="416">
        <v>1</v>
      </c>
      <c r="N188" s="418">
        <f>1/2</f>
        <v>0.5</v>
      </c>
      <c r="O188" s="418">
        <f t="shared" si="6"/>
        <v>0.5</v>
      </c>
      <c r="P188" s="418">
        <f t="shared" si="5"/>
        <v>0.5</v>
      </c>
      <c r="Q188" s="418">
        <f t="shared" si="7"/>
        <v>0.5</v>
      </c>
      <c r="R188" s="405"/>
      <c r="S188" s="427"/>
      <c r="T188" s="420" t="s">
        <v>383</v>
      </c>
      <c r="U188" s="493" t="s">
        <v>489</v>
      </c>
      <c r="V188" s="473"/>
      <c r="W188" s="478"/>
      <c r="X188" s="487"/>
      <c r="Y188" s="473"/>
      <c r="Z188" s="478"/>
      <c r="AA188" s="483"/>
      <c r="AB188" s="487"/>
      <c r="AC188" s="473"/>
      <c r="AD188" s="478"/>
      <c r="AE188" s="483"/>
      <c r="AF188" s="483"/>
      <c r="AG188" s="487"/>
      <c r="AH188" s="473"/>
      <c r="AI188" s="478"/>
      <c r="AJ188" s="483"/>
      <c r="AK188" s="487"/>
      <c r="AL188" s="473"/>
      <c r="AM188" s="478"/>
      <c r="AN188" s="492"/>
    </row>
    <row r="189" spans="2:40" customFormat="1" ht="20.100000000000001" customHeight="1">
      <c r="B189" s="402"/>
      <c r="C189" s="402"/>
      <c r="D189" s="405" t="str">
        <f>D178&amp;"-05"</f>
        <v>D0110-05</v>
      </c>
      <c r="E189" s="407" t="s">
        <v>354</v>
      </c>
      <c r="F189" s="408">
        <f>H188+1</f>
        <v>43117</v>
      </c>
      <c r="G189" s="410">
        <v>1</v>
      </c>
      <c r="H189" s="408">
        <v>43117</v>
      </c>
      <c r="I189" s="412">
        <v>43110</v>
      </c>
      <c r="J189" s="410">
        <v>1</v>
      </c>
      <c r="K189" s="412">
        <v>43110</v>
      </c>
      <c r="L189" s="414"/>
      <c r="M189" s="416">
        <v>1</v>
      </c>
      <c r="N189" s="418">
        <f>1</f>
        <v>1</v>
      </c>
      <c r="O189" s="418">
        <f t="shared" si="6"/>
        <v>1</v>
      </c>
      <c r="P189" s="418">
        <f t="shared" si="5"/>
        <v>1</v>
      </c>
      <c r="Q189" s="418">
        <f t="shared" si="7"/>
        <v>1</v>
      </c>
      <c r="R189" s="405"/>
      <c r="S189" s="427"/>
      <c r="T189" s="420" t="s">
        <v>383</v>
      </c>
      <c r="U189" s="493" t="s">
        <v>489</v>
      </c>
      <c r="V189" s="473"/>
      <c r="W189" s="478"/>
      <c r="X189" s="487"/>
      <c r="Y189" s="473"/>
      <c r="Z189" s="478"/>
      <c r="AA189" s="483"/>
      <c r="AB189" s="487"/>
      <c r="AC189" s="473"/>
      <c r="AD189" s="478"/>
      <c r="AE189" s="483"/>
      <c r="AF189" s="483"/>
      <c r="AG189" s="487"/>
      <c r="AH189" s="473"/>
      <c r="AI189" s="478"/>
      <c r="AJ189" s="483"/>
      <c r="AK189" s="487"/>
      <c r="AL189" s="473"/>
      <c r="AM189" s="478"/>
      <c r="AN189" s="492"/>
    </row>
    <row r="190" spans="2:40" customFormat="1" ht="20.100000000000001" customHeight="1">
      <c r="B190" s="402"/>
      <c r="C190" s="431" t="s">
        <v>368</v>
      </c>
      <c r="D190" s="405" t="s">
        <v>381</v>
      </c>
      <c r="E190" s="407" t="str">
        <f>C190</f>
        <v>全社収支表</v>
      </c>
      <c r="F190" s="408">
        <f>MIN(F191:F197)</f>
        <v>43118</v>
      </c>
      <c r="G190" s="410">
        <v>4</v>
      </c>
      <c r="H190" s="408">
        <f>MAX(H191:H197)</f>
        <v>43123</v>
      </c>
      <c r="I190" s="412"/>
      <c r="J190" s="410"/>
      <c r="K190" s="412"/>
      <c r="L190" s="414"/>
      <c r="M190" s="416"/>
      <c r="N190" s="418"/>
      <c r="O190" s="418">
        <f t="shared" si="6"/>
        <v>0</v>
      </c>
      <c r="P190" s="418">
        <f t="shared" si="5"/>
        <v>0</v>
      </c>
      <c r="Q190" s="418">
        <f t="shared" si="7"/>
        <v>0</v>
      </c>
      <c r="R190" s="405"/>
      <c r="S190" s="401" t="s">
        <v>386</v>
      </c>
      <c r="T190" s="420" t="s">
        <v>85</v>
      </c>
      <c r="U190" s="281" t="s">
        <v>487</v>
      </c>
      <c r="V190" s="473"/>
      <c r="W190" s="478"/>
      <c r="X190" s="487"/>
      <c r="Y190" s="473"/>
      <c r="Z190" s="478"/>
      <c r="AA190" s="483"/>
      <c r="AB190" s="487"/>
      <c r="AC190" s="473"/>
      <c r="AD190" s="478"/>
      <c r="AE190" s="483"/>
      <c r="AF190" s="483"/>
      <c r="AG190" s="487"/>
      <c r="AH190" s="473"/>
      <c r="AI190" s="478"/>
      <c r="AJ190" s="483"/>
      <c r="AK190" s="487"/>
      <c r="AL190" s="473"/>
      <c r="AM190" s="478"/>
      <c r="AN190" s="492"/>
    </row>
    <row r="191" spans="2:40" customFormat="1" ht="20.100000000000001" customHeight="1">
      <c r="B191" s="402"/>
      <c r="C191" s="402"/>
      <c r="D191" s="405" t="str">
        <f>D190&amp;"-01"</f>
        <v>D0201-01</v>
      </c>
      <c r="E191" s="407" t="s">
        <v>351</v>
      </c>
      <c r="F191" s="408">
        <f>H177+1</f>
        <v>43118</v>
      </c>
      <c r="G191" s="410">
        <v>1</v>
      </c>
      <c r="H191" s="408">
        <v>43118</v>
      </c>
      <c r="I191" s="412">
        <v>43117</v>
      </c>
      <c r="J191" s="410">
        <v>1</v>
      </c>
      <c r="K191" s="412">
        <v>43117</v>
      </c>
      <c r="L191" s="414"/>
      <c r="M191" s="416">
        <v>1</v>
      </c>
      <c r="N191" s="418">
        <f>2/3</f>
        <v>0.66666666666666663</v>
      </c>
      <c r="O191" s="418">
        <f t="shared" si="6"/>
        <v>0.66666666666666663</v>
      </c>
      <c r="P191" s="418">
        <f t="shared" si="5"/>
        <v>0.66666666666666663</v>
      </c>
      <c r="Q191" s="418">
        <f t="shared" si="7"/>
        <v>0.66666666666666663</v>
      </c>
      <c r="R191" s="405"/>
      <c r="S191" s="426"/>
      <c r="T191" s="420" t="s">
        <v>382</v>
      </c>
      <c r="U191" s="493" t="s">
        <v>489</v>
      </c>
      <c r="V191" s="473"/>
      <c r="W191" s="478"/>
      <c r="X191" s="487"/>
      <c r="Y191" s="473"/>
      <c r="Z191" s="478"/>
      <c r="AA191" s="483"/>
      <c r="AB191" s="487"/>
      <c r="AC191" s="473"/>
      <c r="AD191" s="478"/>
      <c r="AE191" s="483"/>
      <c r="AF191" s="483"/>
      <c r="AG191" s="487"/>
      <c r="AH191" s="473"/>
      <c r="AI191" s="478"/>
      <c r="AJ191" s="483"/>
      <c r="AK191" s="487"/>
      <c r="AL191" s="473"/>
      <c r="AM191" s="478"/>
      <c r="AN191" s="492"/>
    </row>
    <row r="192" spans="2:40" customFormat="1" ht="20.100000000000001" customHeight="1">
      <c r="B192" s="402"/>
      <c r="C192" s="402"/>
      <c r="D192" s="405" t="str">
        <f>D190&amp;"-02"</f>
        <v>D0201-02</v>
      </c>
      <c r="E192" s="407" t="s">
        <v>347</v>
      </c>
      <c r="F192" s="408">
        <f>F191</f>
        <v>43118</v>
      </c>
      <c r="G192" s="410">
        <v>2</v>
      </c>
      <c r="H192" s="408">
        <v>43119</v>
      </c>
      <c r="I192" s="412">
        <v>43117</v>
      </c>
      <c r="J192" s="410">
        <v>2</v>
      </c>
      <c r="K192" s="412">
        <v>43118</v>
      </c>
      <c r="L192" s="414"/>
      <c r="M192" s="416">
        <v>1</v>
      </c>
      <c r="N192" s="418">
        <f>2/3</f>
        <v>0.66666666666666663</v>
      </c>
      <c r="O192" s="418">
        <f t="shared" si="6"/>
        <v>1.3333333333333333</v>
      </c>
      <c r="P192" s="418">
        <f t="shared" si="5"/>
        <v>1.3333333333333333</v>
      </c>
      <c r="Q192" s="418">
        <f t="shared" si="7"/>
        <v>1.3333333333333333</v>
      </c>
      <c r="R192" s="405"/>
      <c r="S192" s="426"/>
      <c r="T192" s="420" t="s">
        <v>382</v>
      </c>
      <c r="U192" s="493" t="s">
        <v>489</v>
      </c>
      <c r="V192" s="473"/>
      <c r="W192" s="478"/>
      <c r="X192" s="487"/>
      <c r="Y192" s="473"/>
      <c r="Z192" s="478"/>
      <c r="AA192" s="483"/>
      <c r="AB192" s="487"/>
      <c r="AC192" s="473"/>
      <c r="AD192" s="478"/>
      <c r="AE192" s="483"/>
      <c r="AF192" s="483"/>
      <c r="AG192" s="487"/>
      <c r="AH192" s="473"/>
      <c r="AI192" s="478"/>
      <c r="AJ192" s="483"/>
      <c r="AK192" s="487"/>
      <c r="AL192" s="473"/>
      <c r="AM192" s="478"/>
      <c r="AN192" s="492"/>
    </row>
    <row r="193" spans="2:40" customFormat="1" ht="20.100000000000001" customHeight="1">
      <c r="B193" s="402"/>
      <c r="C193" s="402"/>
      <c r="D193" s="405"/>
      <c r="E193" s="407" t="s">
        <v>440</v>
      </c>
      <c r="F193" s="408">
        <f>F192</f>
        <v>43118</v>
      </c>
      <c r="G193" s="410">
        <v>2</v>
      </c>
      <c r="H193" s="408">
        <v>43119</v>
      </c>
      <c r="I193" s="412">
        <v>43118</v>
      </c>
      <c r="J193" s="410">
        <v>1</v>
      </c>
      <c r="K193" s="412">
        <v>43118</v>
      </c>
      <c r="L193" s="414"/>
      <c r="M193" s="416">
        <v>1</v>
      </c>
      <c r="N193" s="418"/>
      <c r="O193" s="418"/>
      <c r="P193" s="418"/>
      <c r="Q193" s="418"/>
      <c r="R193" s="405"/>
      <c r="S193" s="426"/>
      <c r="T193" s="420" t="s">
        <v>382</v>
      </c>
      <c r="U193" s="493" t="s">
        <v>499</v>
      </c>
      <c r="V193" s="473"/>
      <c r="W193" s="478"/>
      <c r="X193" s="487"/>
      <c r="Y193" s="473"/>
      <c r="Z193" s="478"/>
      <c r="AA193" s="483"/>
      <c r="AB193" s="487"/>
      <c r="AC193" s="473"/>
      <c r="AD193" s="478"/>
      <c r="AE193" s="483"/>
      <c r="AF193" s="483"/>
      <c r="AG193" s="487"/>
      <c r="AH193" s="473"/>
      <c r="AI193" s="478"/>
      <c r="AJ193" s="483"/>
      <c r="AK193" s="487"/>
      <c r="AL193" s="473"/>
      <c r="AM193" s="478"/>
      <c r="AN193" s="492"/>
    </row>
    <row r="194" spans="2:40" customFormat="1" ht="20.100000000000001" customHeight="1">
      <c r="B194" s="402"/>
      <c r="C194" s="402"/>
      <c r="D194" s="405" t="s">
        <v>441</v>
      </c>
      <c r="E194" s="407" t="s">
        <v>480</v>
      </c>
      <c r="F194" s="408">
        <f>F192</f>
        <v>43118</v>
      </c>
      <c r="G194" s="410">
        <v>2</v>
      </c>
      <c r="H194" s="408">
        <v>43119</v>
      </c>
      <c r="I194" s="412">
        <v>43118</v>
      </c>
      <c r="J194" s="410">
        <v>1</v>
      </c>
      <c r="K194" s="412">
        <v>43118</v>
      </c>
      <c r="L194" s="414"/>
      <c r="M194" s="416">
        <v>1</v>
      </c>
      <c r="N194" s="418"/>
      <c r="O194" s="418"/>
      <c r="P194" s="418"/>
      <c r="Q194" s="418"/>
      <c r="R194" s="405"/>
      <c r="S194" s="426"/>
      <c r="T194" s="420" t="s">
        <v>382</v>
      </c>
      <c r="U194" s="493" t="s">
        <v>489</v>
      </c>
      <c r="V194" s="473"/>
      <c r="W194" s="478"/>
      <c r="X194" s="487"/>
      <c r="Y194" s="473"/>
      <c r="Z194" s="478"/>
      <c r="AA194" s="483"/>
      <c r="AB194" s="487"/>
      <c r="AC194" s="473"/>
      <c r="AD194" s="478"/>
      <c r="AE194" s="483"/>
      <c r="AF194" s="483"/>
      <c r="AG194" s="487"/>
      <c r="AH194" s="473"/>
      <c r="AI194" s="478"/>
      <c r="AJ194" s="483"/>
      <c r="AK194" s="487"/>
      <c r="AL194" s="473"/>
      <c r="AM194" s="478"/>
      <c r="AN194" s="492"/>
    </row>
    <row r="195" spans="2:40" customFormat="1" ht="20.100000000000001" customHeight="1">
      <c r="B195" s="402"/>
      <c r="C195" s="402"/>
      <c r="D195" s="405" t="str">
        <f>D190&amp;"-03"</f>
        <v>D0201-03</v>
      </c>
      <c r="E195" s="407" t="s">
        <v>352</v>
      </c>
      <c r="F195" s="408">
        <f>H192+1</f>
        <v>43120</v>
      </c>
      <c r="G195" s="410">
        <v>1</v>
      </c>
      <c r="H195" s="408">
        <v>43122</v>
      </c>
      <c r="I195" s="412">
        <v>43118</v>
      </c>
      <c r="J195" s="410">
        <v>1</v>
      </c>
      <c r="K195" s="412">
        <v>43118</v>
      </c>
      <c r="L195" s="414"/>
      <c r="M195" s="416">
        <v>1</v>
      </c>
      <c r="N195" s="418">
        <f>1/2</f>
        <v>0.5</v>
      </c>
      <c r="O195" s="418">
        <f t="shared" si="6"/>
        <v>0.5</v>
      </c>
      <c r="P195" s="418">
        <f t="shared" si="5"/>
        <v>0.5</v>
      </c>
      <c r="Q195" s="418">
        <f t="shared" si="7"/>
        <v>0.5</v>
      </c>
      <c r="R195" s="405"/>
      <c r="S195" s="426"/>
      <c r="T195" s="420" t="s">
        <v>382</v>
      </c>
      <c r="U195" s="493" t="s">
        <v>489</v>
      </c>
      <c r="V195" s="473"/>
      <c r="W195" s="478"/>
      <c r="X195" s="487"/>
      <c r="Y195" s="473"/>
      <c r="Z195" s="478"/>
      <c r="AA195" s="483"/>
      <c r="AB195" s="487"/>
      <c r="AC195" s="473"/>
      <c r="AD195" s="478"/>
      <c r="AE195" s="483"/>
      <c r="AF195" s="483"/>
      <c r="AG195" s="487"/>
      <c r="AH195" s="473"/>
      <c r="AI195" s="478"/>
      <c r="AJ195" s="483"/>
      <c r="AK195" s="487"/>
      <c r="AL195" s="473"/>
      <c r="AM195" s="478"/>
      <c r="AN195" s="492"/>
    </row>
    <row r="196" spans="2:40" customFormat="1" ht="20.100000000000001" customHeight="1">
      <c r="B196" s="402"/>
      <c r="C196" s="402"/>
      <c r="D196" s="405" t="str">
        <f>D190&amp;"-04"</f>
        <v>D0201-04</v>
      </c>
      <c r="E196" s="407" t="s">
        <v>353</v>
      </c>
      <c r="F196" s="408">
        <f>H192+1</f>
        <v>43120</v>
      </c>
      <c r="G196" s="410">
        <v>1</v>
      </c>
      <c r="H196" s="408">
        <v>43122</v>
      </c>
      <c r="I196" s="412">
        <v>43118</v>
      </c>
      <c r="J196" s="528">
        <v>3</v>
      </c>
      <c r="K196" s="412">
        <v>43122</v>
      </c>
      <c r="L196" s="414"/>
      <c r="M196" s="416">
        <v>1</v>
      </c>
      <c r="N196" s="418">
        <f>1/2</f>
        <v>0.5</v>
      </c>
      <c r="O196" s="418">
        <f t="shared" si="6"/>
        <v>0.5</v>
      </c>
      <c r="P196" s="418">
        <f t="shared" si="5"/>
        <v>0.5</v>
      </c>
      <c r="Q196" s="418">
        <f t="shared" si="7"/>
        <v>0.5</v>
      </c>
      <c r="R196" s="405"/>
      <c r="S196" s="426"/>
      <c r="T196" s="420" t="s">
        <v>382</v>
      </c>
      <c r="U196" s="493" t="s">
        <v>489</v>
      </c>
      <c r="V196" s="473"/>
      <c r="W196" s="478"/>
      <c r="X196" s="487"/>
      <c r="Y196" s="473"/>
      <c r="Z196" s="478"/>
      <c r="AA196" s="483"/>
      <c r="AB196" s="487"/>
      <c r="AC196" s="473"/>
      <c r="AD196" s="478"/>
      <c r="AE196" s="483"/>
      <c r="AF196" s="483"/>
      <c r="AG196" s="487"/>
      <c r="AH196" s="473"/>
      <c r="AI196" s="478"/>
      <c r="AJ196" s="483"/>
      <c r="AK196" s="487"/>
      <c r="AL196" s="473"/>
      <c r="AM196" s="478"/>
      <c r="AN196" s="492"/>
    </row>
    <row r="197" spans="2:40" customFormat="1" ht="20.100000000000001" customHeight="1">
      <c r="B197" s="527" t="s">
        <v>484</v>
      </c>
      <c r="C197" s="521"/>
      <c r="D197" s="510" t="str">
        <f>D190&amp;"-05"</f>
        <v>D0201-05</v>
      </c>
      <c r="E197" s="511" t="s">
        <v>354</v>
      </c>
      <c r="F197" s="512">
        <f>H196+1</f>
        <v>43123</v>
      </c>
      <c r="G197" s="513">
        <v>1</v>
      </c>
      <c r="H197" s="512">
        <v>43123</v>
      </c>
      <c r="I197" s="514">
        <v>43118</v>
      </c>
      <c r="J197" s="529">
        <v>3</v>
      </c>
      <c r="K197" s="514">
        <v>43122</v>
      </c>
      <c r="L197" s="515"/>
      <c r="M197" s="516">
        <v>1</v>
      </c>
      <c r="N197" s="517">
        <v>1</v>
      </c>
      <c r="O197" s="517">
        <f t="shared" si="6"/>
        <v>1</v>
      </c>
      <c r="P197" s="517">
        <f t="shared" si="5"/>
        <v>1</v>
      </c>
      <c r="Q197" s="517">
        <f t="shared" si="7"/>
        <v>1</v>
      </c>
      <c r="R197" s="510"/>
      <c r="S197" s="520"/>
      <c r="T197" s="518" t="s">
        <v>382</v>
      </c>
      <c r="U197" s="530" t="s">
        <v>489</v>
      </c>
      <c r="V197" s="522"/>
      <c r="W197" s="523"/>
      <c r="X197" s="525"/>
      <c r="Y197" s="522"/>
      <c r="Z197" s="523"/>
      <c r="AA197" s="524"/>
      <c r="AB197" s="525"/>
      <c r="AC197" s="522"/>
      <c r="AD197" s="523"/>
      <c r="AE197" s="524"/>
      <c r="AF197" s="524"/>
      <c r="AG197" s="525"/>
      <c r="AH197" s="522"/>
      <c r="AI197" s="523"/>
      <c r="AJ197" s="524"/>
      <c r="AK197" s="525"/>
      <c r="AL197" s="522"/>
      <c r="AM197" s="523"/>
      <c r="AN197" s="526"/>
    </row>
    <row r="198" spans="2:40" customFormat="1" ht="20.100000000000001" customHeight="1">
      <c r="B198" s="432"/>
      <c r="C198" s="432"/>
      <c r="D198" s="432"/>
      <c r="E198" s="432"/>
      <c r="F198" s="432"/>
      <c r="G198" s="432"/>
      <c r="H198" s="432"/>
      <c r="I198" s="432"/>
      <c r="J198" s="432"/>
      <c r="K198" s="432"/>
      <c r="L198" s="432"/>
      <c r="M198" s="432"/>
      <c r="N198" s="432"/>
      <c r="O198" s="432"/>
      <c r="P198" s="432"/>
      <c r="Q198" s="432"/>
      <c r="R198" s="432"/>
      <c r="S198" s="432"/>
      <c r="T198" s="433"/>
      <c r="U198" s="432"/>
      <c r="V198" s="432"/>
      <c r="W198" s="433"/>
      <c r="X198" s="433"/>
      <c r="Y198" s="432"/>
      <c r="Z198" s="433"/>
      <c r="AA198" s="433"/>
      <c r="AB198" s="433"/>
      <c r="AC198" s="432"/>
      <c r="AD198" s="433"/>
      <c r="AE198" s="433"/>
      <c r="AF198" s="433"/>
      <c r="AG198" s="433"/>
      <c r="AH198" s="432"/>
      <c r="AI198" s="433"/>
      <c r="AJ198" s="433"/>
      <c r="AK198" s="433"/>
      <c r="AL198" s="432"/>
      <c r="AM198" s="433"/>
      <c r="AN198" s="433"/>
    </row>
    <row r="199" spans="2:40" customFormat="1" ht="20.100000000000001" customHeight="1"/>
  </sheetData>
  <autoFilter ref="T4:U197"/>
  <dataConsolidate/>
  <mergeCells count="3">
    <mergeCell ref="R2:T2"/>
    <mergeCell ref="S1:U1"/>
    <mergeCell ref="P1:R1"/>
  </mergeCells>
  <phoneticPr fontId="4"/>
  <pageMargins left="0.39370078740157483" right="0.39370078740157483" top="0.39370078740157483" bottom="0.39370078740157483" header="0.51181102362204722" footer="0.51181102362204722"/>
  <pageSetup paperSize="9" scale="51" orientation="landscape" r:id="rId1"/>
  <headerFooter alignWithMargins="0"/>
  <drawing r:id="rId2"/>
  <legacyDrawing r:id="rId3"/>
  <controls>
    <mc:AlternateContent xmlns:mc="http://schemas.openxmlformats.org/markup-compatibility/2006">
      <mc:Choice Requires="x14">
        <control shapeId="72543" r:id="rId4" name="BTN_TaskWndDisp">
          <controlPr defaultSize="0" print="0" autoFill="0" autoLine="0" r:id="rId5">
            <anchor moveWithCells="1">
              <from>
                <xdr:col>2</xdr:col>
                <xdr:colOff>47625</xdr:colOff>
                <xdr:row>1</xdr:row>
                <xdr:rowOff>47625</xdr:rowOff>
              </from>
              <to>
                <xdr:col>3</xdr:col>
                <xdr:colOff>66675</xdr:colOff>
                <xdr:row>2</xdr:row>
                <xdr:rowOff>19050</xdr:rowOff>
              </to>
            </anchor>
          </controlPr>
        </control>
      </mc:Choice>
      <mc:Fallback>
        <control shapeId="72543" r:id="rId4" name="BTN_TaskWndDisp"/>
      </mc:Fallback>
    </mc:AlternateContent>
    <mc:AlternateContent xmlns:mc="http://schemas.openxmlformats.org/markup-compatibility/2006">
      <mc:Choice Requires="x14">
        <control shapeId="26623" r:id="rId6" name="BTN_TodoAllDisp">
          <controlPr defaultSize="0" print="0" autoLine="0" r:id="rId7">
            <anchor moveWithCells="1">
              <from>
                <xdr:col>3</xdr:col>
                <xdr:colOff>95250</xdr:colOff>
                <xdr:row>1</xdr:row>
                <xdr:rowOff>47625</xdr:rowOff>
              </from>
              <to>
                <xdr:col>4</xdr:col>
                <xdr:colOff>142875</xdr:colOff>
                <xdr:row>2</xdr:row>
                <xdr:rowOff>19050</xdr:rowOff>
              </to>
            </anchor>
          </controlPr>
        </control>
      </mc:Choice>
      <mc:Fallback>
        <control shapeId="26623" r:id="rId6" name="BTN_TodoAllDisp"/>
      </mc:Fallback>
    </mc:AlternateContent>
    <mc:AlternateContent xmlns:mc="http://schemas.openxmlformats.org/markup-compatibility/2006">
      <mc:Choice Requires="x14">
        <control shapeId="1028" r:id="rId8" name="BTN_MenuWndDisp">
          <controlPr defaultSize="0" print="0" autoFill="0" autoLine="0" r:id="rId9">
            <anchor moveWithCells="1">
              <from>
                <xdr:col>1</xdr:col>
                <xdr:colOff>0</xdr:colOff>
                <xdr:row>1</xdr:row>
                <xdr:rowOff>47625</xdr:rowOff>
              </from>
              <to>
                <xdr:col>2</xdr:col>
                <xdr:colOff>19050</xdr:colOff>
                <xdr:row>1</xdr:row>
                <xdr:rowOff>342900</xdr:rowOff>
              </to>
            </anchor>
          </controlPr>
        </control>
      </mc:Choice>
      <mc:Fallback>
        <control shapeId="1028" r:id="rId8" name="BTN_MenuWndDisp"/>
      </mc:Fallback>
    </mc:AlternateContent>
    <mc:AlternateContent xmlns:mc="http://schemas.openxmlformats.org/markup-compatibility/2006">
      <mc:Choice Requires="x14">
        <control shapeId="1027" r:id="rId10" name="BTN_SortAllDisp">
          <controlPr locked="0" defaultSize="0" print="0" autoLine="0" r:id="rId11">
            <anchor moveWithCells="1">
              <from>
                <xdr:col>4</xdr:col>
                <xdr:colOff>171450</xdr:colOff>
                <xdr:row>1</xdr:row>
                <xdr:rowOff>47625</xdr:rowOff>
              </from>
              <to>
                <xdr:col>4</xdr:col>
                <xdr:colOff>828675</xdr:colOff>
                <xdr:row>1</xdr:row>
                <xdr:rowOff>342900</xdr:rowOff>
              </to>
            </anchor>
          </controlPr>
        </control>
      </mc:Choice>
      <mc:Fallback>
        <control shapeId="1027" r:id="rId10" name="BTN_SortAllDisp"/>
      </mc:Fallback>
    </mc:AlternateContent>
    <mc:AlternateContent xmlns:mc="http://schemas.openxmlformats.org/markup-compatibility/2006">
      <mc:Choice Requires="x14">
        <control shapeId="1026" r:id="rId12" name="BTN_SortEx2Disp">
          <controlPr defaultSize="0" print="0" autoLine="0" r:id="rId13">
            <anchor moveWithCells="1">
              <from>
                <xdr:col>4</xdr:col>
                <xdr:colOff>1533525</xdr:colOff>
                <xdr:row>1</xdr:row>
                <xdr:rowOff>47625</xdr:rowOff>
              </from>
              <to>
                <xdr:col>4</xdr:col>
                <xdr:colOff>2190750</xdr:colOff>
                <xdr:row>1</xdr:row>
                <xdr:rowOff>342900</xdr:rowOff>
              </to>
            </anchor>
          </controlPr>
        </control>
      </mc:Choice>
      <mc:Fallback>
        <control shapeId="1026" r:id="rId12" name="BTN_SortEx2Disp"/>
      </mc:Fallback>
    </mc:AlternateContent>
    <mc:AlternateContent xmlns:mc="http://schemas.openxmlformats.org/markup-compatibility/2006">
      <mc:Choice Requires="x14">
        <control shapeId="1025" r:id="rId14" name="BTN_SortEx1Disp">
          <controlPr defaultSize="0" print="0" autoLine="0" r:id="rId15">
            <anchor moveWithCells="1">
              <from>
                <xdr:col>4</xdr:col>
                <xdr:colOff>857250</xdr:colOff>
                <xdr:row>1</xdr:row>
                <xdr:rowOff>47625</xdr:rowOff>
              </from>
              <to>
                <xdr:col>4</xdr:col>
                <xdr:colOff>1514475</xdr:colOff>
                <xdr:row>1</xdr:row>
                <xdr:rowOff>342900</xdr:rowOff>
              </to>
            </anchor>
          </controlPr>
        </control>
      </mc:Choice>
      <mc:Fallback>
        <control shapeId="1025" r:id="rId14" name="BTN_SortEx1Disp"/>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46"/>
  </sheetPr>
  <dimension ref="A1:O16"/>
  <sheetViews>
    <sheetView showGridLines="0" zoomScale="75" zoomScaleNormal="75" workbookViewId="0">
      <selection activeCell="B16" sqref="B16:C16"/>
    </sheetView>
  </sheetViews>
  <sheetFormatPr defaultRowHeight="20.100000000000001" customHeight="1"/>
  <cols>
    <col min="1" max="1" width="2.85546875" style="36" customWidth="1"/>
    <col min="2" max="2" width="1.5703125" style="36" customWidth="1"/>
    <col min="3" max="3" width="19.42578125" style="37" customWidth="1"/>
    <col min="4" max="4" width="9.140625" style="37"/>
    <col min="5" max="7" width="11" style="37" customWidth="1"/>
    <col min="8" max="8" width="3.7109375" style="36" customWidth="1"/>
    <col min="9" max="9" width="9.140625" style="36"/>
    <col min="10" max="10" width="3.7109375" style="36" customWidth="1"/>
    <col min="11" max="16384" width="9.140625" style="36"/>
  </cols>
  <sheetData>
    <row r="1" spans="1:15" ht="19.5" customHeight="1">
      <c r="A1" s="36" t="s">
        <v>52</v>
      </c>
    </row>
    <row r="2" spans="1:15" ht="27.95" customHeight="1">
      <c r="B2" s="205" t="s">
        <v>206</v>
      </c>
      <c r="D2" s="38"/>
      <c r="E2" s="38"/>
      <c r="F2" s="38"/>
      <c r="G2" s="38"/>
      <c r="H2" s="39"/>
      <c r="I2" s="39"/>
      <c r="J2" s="39"/>
      <c r="K2" s="40"/>
      <c r="L2" s="40"/>
      <c r="M2" s="40"/>
      <c r="N2" s="41"/>
      <c r="O2" s="41"/>
    </row>
    <row r="3" spans="1:15" ht="20.100000000000001" customHeight="1">
      <c r="B3" s="42" t="s">
        <v>53</v>
      </c>
      <c r="C3" s="317" t="s">
        <v>207</v>
      </c>
      <c r="D3" s="318" t="s">
        <v>208</v>
      </c>
      <c r="E3" s="319" t="s">
        <v>209</v>
      </c>
      <c r="F3" s="319" t="s">
        <v>210</v>
      </c>
      <c r="G3" s="316" t="s">
        <v>211</v>
      </c>
      <c r="H3" s="313"/>
      <c r="I3" s="314" t="s">
        <v>212</v>
      </c>
      <c r="J3" s="315"/>
      <c r="K3" s="41"/>
      <c r="L3" s="41"/>
      <c r="M3" s="41"/>
      <c r="N3" s="41"/>
      <c r="O3" s="41"/>
    </row>
    <row r="4" spans="1:15" ht="20.100000000000001" customHeight="1">
      <c r="B4" s="43" t="s">
        <v>392</v>
      </c>
      <c r="C4" s="44" t="s">
        <v>128</v>
      </c>
      <c r="D4" s="45"/>
      <c r="E4" s="46" t="s">
        <v>126</v>
      </c>
      <c r="F4" s="46"/>
      <c r="G4" s="45"/>
      <c r="H4" s="47"/>
      <c r="I4" s="48"/>
      <c r="J4" s="49"/>
    </row>
    <row r="5" spans="1:15" ht="20.100000000000001" customHeight="1">
      <c r="B5" s="435"/>
      <c r="C5" s="439" t="s">
        <v>393</v>
      </c>
      <c r="D5" s="440" t="s">
        <v>54</v>
      </c>
      <c r="E5" s="441"/>
      <c r="F5" s="441"/>
      <c r="G5" s="440"/>
      <c r="H5" s="436"/>
      <c r="I5" s="51"/>
      <c r="J5" s="52"/>
    </row>
    <row r="6" spans="1:15" ht="20.100000000000001" customHeight="1">
      <c r="B6" s="50"/>
      <c r="C6" s="439" t="s">
        <v>394</v>
      </c>
      <c r="D6" s="440" t="s">
        <v>54</v>
      </c>
      <c r="E6" s="442">
        <v>43059</v>
      </c>
      <c r="F6" s="441"/>
      <c r="G6" s="440">
        <v>1</v>
      </c>
      <c r="H6" s="436"/>
      <c r="I6" s="51"/>
      <c r="J6" s="52"/>
    </row>
    <row r="7" spans="1:15" ht="20.100000000000001" customHeight="1">
      <c r="B7" s="53"/>
      <c r="C7" s="439" t="s">
        <v>395</v>
      </c>
      <c r="D7" s="440" t="s">
        <v>54</v>
      </c>
      <c r="E7" s="442">
        <v>43059</v>
      </c>
      <c r="F7" s="441"/>
      <c r="G7" s="440">
        <v>1</v>
      </c>
      <c r="H7" s="436"/>
      <c r="I7" s="51"/>
      <c r="J7" s="52"/>
    </row>
    <row r="8" spans="1:15" ht="20.100000000000001" customHeight="1">
      <c r="B8" s="56"/>
      <c r="C8" s="439" t="s">
        <v>396</v>
      </c>
      <c r="D8" s="440" t="s">
        <v>54</v>
      </c>
      <c r="E8" s="442">
        <v>43059</v>
      </c>
      <c r="F8" s="441"/>
      <c r="G8" s="440">
        <v>1</v>
      </c>
      <c r="H8" s="436"/>
      <c r="I8" s="51"/>
      <c r="J8" s="52"/>
    </row>
    <row r="9" spans="1:15" ht="20.100000000000001" customHeight="1">
      <c r="B9" s="50"/>
      <c r="C9" s="439" t="s">
        <v>387</v>
      </c>
      <c r="D9" s="440" t="s">
        <v>54</v>
      </c>
      <c r="E9" s="442">
        <v>43059</v>
      </c>
      <c r="F9" s="441"/>
      <c r="G9" s="440">
        <v>2</v>
      </c>
      <c r="H9" s="436"/>
      <c r="I9" s="51"/>
      <c r="J9" s="52"/>
    </row>
    <row r="10" spans="1:15" ht="20.100000000000001" customHeight="1">
      <c r="B10" s="53"/>
      <c r="C10" s="439" t="s">
        <v>388</v>
      </c>
      <c r="D10" s="440" t="s">
        <v>54</v>
      </c>
      <c r="E10" s="442">
        <v>43059</v>
      </c>
      <c r="F10" s="441"/>
      <c r="G10" s="440">
        <v>2</v>
      </c>
      <c r="H10" s="436"/>
      <c r="I10" s="51"/>
      <c r="J10" s="52"/>
    </row>
    <row r="11" spans="1:15" ht="20.100000000000001" customHeight="1">
      <c r="B11" s="434"/>
      <c r="C11" s="439" t="s">
        <v>390</v>
      </c>
      <c r="D11" s="440" t="s">
        <v>54</v>
      </c>
      <c r="E11" s="442">
        <v>43059</v>
      </c>
      <c r="F11" s="441"/>
      <c r="G11" s="440">
        <v>2</v>
      </c>
      <c r="H11" s="436"/>
      <c r="I11" s="51"/>
      <c r="J11" s="52"/>
    </row>
    <row r="12" spans="1:15" ht="20.100000000000001" customHeight="1">
      <c r="B12" s="55"/>
      <c r="C12" s="439" t="s">
        <v>391</v>
      </c>
      <c r="D12" s="440" t="s">
        <v>54</v>
      </c>
      <c r="E12" s="442">
        <v>43059</v>
      </c>
      <c r="F12" s="441"/>
      <c r="G12" s="440">
        <v>2</v>
      </c>
      <c r="H12" s="436"/>
      <c r="I12" s="51"/>
      <c r="J12" s="52"/>
    </row>
    <row r="13" spans="1:15" ht="20.100000000000001" customHeight="1">
      <c r="B13" s="56"/>
      <c r="C13" s="439" t="s">
        <v>389</v>
      </c>
      <c r="D13" s="440" t="s">
        <v>54</v>
      </c>
      <c r="E13" s="442">
        <v>43059</v>
      </c>
      <c r="F13" s="441"/>
      <c r="G13" s="440">
        <v>2</v>
      </c>
      <c r="H13" s="436"/>
      <c r="I13" s="51"/>
      <c r="J13" s="52"/>
    </row>
    <row r="14" spans="1:15" ht="20.100000000000001" customHeight="1">
      <c r="B14" s="54"/>
      <c r="C14" s="439" t="s">
        <v>397</v>
      </c>
      <c r="D14" s="440" t="s">
        <v>54</v>
      </c>
      <c r="E14" s="442">
        <v>43059</v>
      </c>
      <c r="F14" s="441"/>
      <c r="G14" s="440">
        <v>1</v>
      </c>
      <c r="H14" s="436"/>
      <c r="I14" s="51"/>
      <c r="J14" s="52"/>
    </row>
    <row r="15" spans="1:15" ht="20.100000000000001" customHeight="1">
      <c r="B15" s="496"/>
      <c r="C15" s="497" t="s">
        <v>398</v>
      </c>
      <c r="D15" s="498" t="s">
        <v>54</v>
      </c>
      <c r="E15" s="499">
        <v>43070</v>
      </c>
      <c r="F15" s="500"/>
      <c r="G15" s="498">
        <v>1</v>
      </c>
      <c r="H15" s="501"/>
      <c r="I15" s="502"/>
      <c r="J15" s="503"/>
    </row>
    <row r="16" spans="1:15" ht="20.100000000000001" customHeight="1">
      <c r="B16" s="504"/>
      <c r="C16" s="508" t="s">
        <v>483</v>
      </c>
      <c r="D16" s="505" t="s">
        <v>54</v>
      </c>
      <c r="E16" s="506">
        <v>43059</v>
      </c>
      <c r="F16" s="507"/>
      <c r="G16" s="505">
        <v>1</v>
      </c>
      <c r="H16" s="509"/>
      <c r="I16" s="437"/>
      <c r="J16" s="438"/>
    </row>
  </sheetData>
  <phoneticPr fontId="4"/>
  <pageMargins left="0.75" right="0.75" top="1" bottom="1" header="0.51200000000000001" footer="0.51200000000000001"/>
  <headerFooter alignWithMargins="0"/>
  <drawing r:id="rId1"/>
  <legacyDrawing r:id="rId2"/>
  <picture r:id="rId3"/>
  <controls>
    <mc:AlternateContent xmlns:mc="http://schemas.openxmlformats.org/markup-compatibility/2006">
      <mc:Choice Requires="x14">
        <control shapeId="2367" r:id="rId4" name="BTN_MemberList_FilePutMem">
          <controlPr defaultSize="0" autoLine="0" r:id="rId5">
            <anchor moveWithCells="1">
              <from>
                <xdr:col>8</xdr:col>
                <xdr:colOff>161925</xdr:colOff>
                <xdr:row>1</xdr:row>
                <xdr:rowOff>9525</xdr:rowOff>
              </from>
              <to>
                <xdr:col>10</xdr:col>
                <xdr:colOff>76200</xdr:colOff>
                <xdr:row>1</xdr:row>
                <xdr:rowOff>323850</xdr:rowOff>
              </to>
            </anchor>
          </controlPr>
        </control>
      </mc:Choice>
      <mc:Fallback>
        <control shapeId="2367" r:id="rId4" name="BTN_MemberList_FilePutMem"/>
      </mc:Fallback>
    </mc:AlternateContent>
    <mc:AlternateContent xmlns:mc="http://schemas.openxmlformats.org/markup-compatibility/2006">
      <mc:Choice Requires="x14">
        <control shapeId="2207" r:id="rId6" name="BTN_MemberList_AddGet">
          <controlPr defaultSize="0" autoLine="0" r:id="rId7">
            <anchor moveWithCells="1">
              <from>
                <xdr:col>4</xdr:col>
                <xdr:colOff>257175</xdr:colOff>
                <xdr:row>1</xdr:row>
                <xdr:rowOff>9525</xdr:rowOff>
              </from>
              <to>
                <xdr:col>5</xdr:col>
                <xdr:colOff>295275</xdr:colOff>
                <xdr:row>1</xdr:row>
                <xdr:rowOff>323850</xdr:rowOff>
              </to>
            </anchor>
          </controlPr>
        </control>
      </mc:Choice>
      <mc:Fallback>
        <control shapeId="2207" r:id="rId6" name="BTN_MemberList_AddGet"/>
      </mc:Fallback>
    </mc:AlternateContent>
    <mc:AlternateContent xmlns:mc="http://schemas.openxmlformats.org/markup-compatibility/2006">
      <mc:Choice Requires="x14">
        <control shapeId="2098" r:id="rId8" name="BTN_MemberList_FileGet">
          <controlPr defaultSize="0" autoLine="0" r:id="rId9">
            <anchor moveWithCells="1">
              <from>
                <xdr:col>6</xdr:col>
                <xdr:colOff>352425</xdr:colOff>
                <xdr:row>1</xdr:row>
                <xdr:rowOff>9525</xdr:rowOff>
              </from>
              <to>
                <xdr:col>8</xdr:col>
                <xdr:colOff>142875</xdr:colOff>
                <xdr:row>1</xdr:row>
                <xdr:rowOff>323850</xdr:rowOff>
              </to>
            </anchor>
          </controlPr>
        </control>
      </mc:Choice>
      <mc:Fallback>
        <control shapeId="2098" r:id="rId8" name="BTN_MemberList_FileGet"/>
      </mc:Fallback>
    </mc:AlternateContent>
    <mc:AlternateContent xmlns:mc="http://schemas.openxmlformats.org/markup-compatibility/2006">
      <mc:Choice Requires="x14">
        <control shapeId="2097" r:id="rId10" name="BTN_MemberList_FilePut">
          <controlPr defaultSize="0" autoLine="0" r:id="rId11">
            <anchor moveWithCells="1">
              <from>
                <xdr:col>5</xdr:col>
                <xdr:colOff>304800</xdr:colOff>
                <xdr:row>1</xdr:row>
                <xdr:rowOff>9525</xdr:rowOff>
              </from>
              <to>
                <xdr:col>6</xdr:col>
                <xdr:colOff>342900</xdr:colOff>
                <xdr:row>1</xdr:row>
                <xdr:rowOff>323850</xdr:rowOff>
              </to>
            </anchor>
          </controlPr>
        </control>
      </mc:Choice>
      <mc:Fallback>
        <control shapeId="2097" r:id="rId10" name="BTN_MemberList_FilePut"/>
      </mc:Fallback>
    </mc:AlternateContent>
    <mc:AlternateContent xmlns:mc="http://schemas.openxmlformats.org/markup-compatibility/2006">
      <mc:Choice Requires="x14">
        <control shapeId="2049" r:id="rId12" name="BTN_MemberList_Get">
          <controlPr defaultSize="0" autoLine="0" r:id="rId13">
            <anchor moveWithCells="1">
              <from>
                <xdr:col>3</xdr:col>
                <xdr:colOff>76200</xdr:colOff>
                <xdr:row>1</xdr:row>
                <xdr:rowOff>9525</xdr:rowOff>
              </from>
              <to>
                <xdr:col>4</xdr:col>
                <xdr:colOff>238125</xdr:colOff>
                <xdr:row>1</xdr:row>
                <xdr:rowOff>323850</xdr:rowOff>
              </to>
            </anchor>
          </controlPr>
        </control>
      </mc:Choice>
      <mc:Fallback>
        <control shapeId="2049" r:id="rId12" name="BTN_MemberList_Ge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44"/>
  </sheetPr>
  <dimension ref="A1:R45"/>
  <sheetViews>
    <sheetView showGridLines="0" zoomScale="75" workbookViewId="0"/>
  </sheetViews>
  <sheetFormatPr defaultRowHeight="20.100000000000001" customHeight="1"/>
  <cols>
    <col min="1" max="1" width="2.85546875" style="57" customWidth="1"/>
    <col min="2" max="3" width="15" style="58" customWidth="1"/>
    <col min="4" max="4" width="6.7109375" style="368" customWidth="1"/>
    <col min="5" max="5" width="23.5703125" style="57" customWidth="1"/>
    <col min="6" max="6" width="8" style="57" customWidth="1"/>
    <col min="7" max="7" width="6.5703125" style="57" customWidth="1"/>
    <col min="8" max="8" width="8" style="57" customWidth="1"/>
    <col min="9" max="11" width="6" style="59" customWidth="1"/>
    <col min="12" max="13" width="7.42578125" style="59" customWidth="1"/>
    <col min="14" max="14" width="6" style="60" customWidth="1"/>
    <col min="15" max="15" width="6.7109375" style="371" customWidth="1"/>
    <col min="16" max="16" width="1.5703125" style="61" customWidth="1"/>
    <col min="17" max="17" width="9.7109375" style="57" customWidth="1"/>
    <col min="18" max="16384" width="9.140625" style="57"/>
  </cols>
  <sheetData>
    <row r="1" spans="1:18" ht="19.5" customHeight="1">
      <c r="A1" s="57" t="s">
        <v>55</v>
      </c>
    </row>
    <row r="2" spans="1:18" s="62" customFormat="1" ht="27.75" customHeight="1">
      <c r="B2" s="205" t="s">
        <v>213</v>
      </c>
      <c r="C2" s="58"/>
      <c r="D2" s="369"/>
      <c r="I2" s="63"/>
      <c r="J2" s="63"/>
      <c r="K2" s="63"/>
      <c r="L2" s="63"/>
      <c r="M2" s="63"/>
      <c r="N2" s="64"/>
      <c r="O2" s="372"/>
      <c r="P2" s="61"/>
    </row>
    <row r="3" spans="1:18" ht="16.5" customHeight="1">
      <c r="B3" s="14"/>
      <c r="C3" s="14"/>
      <c r="D3" s="370"/>
      <c r="E3" s="15"/>
      <c r="F3" s="16" t="s">
        <v>0</v>
      </c>
      <c r="G3" s="17"/>
      <c r="H3" s="18"/>
      <c r="I3" s="19" t="s">
        <v>1</v>
      </c>
      <c r="J3" s="20"/>
      <c r="K3" s="20"/>
      <c r="L3" s="21"/>
      <c r="M3" s="95"/>
      <c r="N3" s="22"/>
      <c r="O3" s="373"/>
      <c r="P3" s="23"/>
      <c r="Q3" s="24"/>
      <c r="R3" s="15"/>
    </row>
    <row r="4" spans="1:18" ht="16.5" customHeight="1">
      <c r="B4" s="25" t="s">
        <v>67</v>
      </c>
      <c r="C4" s="25" t="s">
        <v>68</v>
      </c>
      <c r="D4" s="26" t="s">
        <v>69</v>
      </c>
      <c r="E4" s="27" t="s">
        <v>70</v>
      </c>
      <c r="F4" s="28" t="s">
        <v>61</v>
      </c>
      <c r="G4" s="27" t="s">
        <v>71</v>
      </c>
      <c r="H4" s="27" t="s">
        <v>72</v>
      </c>
      <c r="I4" s="27" t="s">
        <v>73</v>
      </c>
      <c r="J4" s="27" t="s">
        <v>71</v>
      </c>
      <c r="K4" s="27" t="s">
        <v>62</v>
      </c>
      <c r="L4" s="27" t="s">
        <v>63</v>
      </c>
      <c r="M4" s="96" t="s">
        <v>60</v>
      </c>
      <c r="N4" s="29" t="s">
        <v>74</v>
      </c>
      <c r="O4" s="27" t="s">
        <v>64</v>
      </c>
      <c r="P4" s="30"/>
      <c r="Q4" s="31" t="s">
        <v>66</v>
      </c>
      <c r="R4" s="123" t="s">
        <v>90</v>
      </c>
    </row>
    <row r="5" spans="1:18" ht="20.100000000000001" customHeight="1">
      <c r="B5" s="65" t="s">
        <v>75</v>
      </c>
      <c r="C5" s="65"/>
      <c r="D5" s="364" t="s">
        <v>297</v>
      </c>
      <c r="E5" s="174" t="s">
        <v>75</v>
      </c>
      <c r="F5" s="109">
        <v>39174</v>
      </c>
      <c r="G5" s="117">
        <v>21</v>
      </c>
      <c r="H5" s="178"/>
      <c r="I5" s="113"/>
      <c r="J5" s="117"/>
      <c r="K5" s="113"/>
      <c r="L5" s="117"/>
      <c r="M5" s="97"/>
      <c r="N5" s="105"/>
      <c r="O5" s="364"/>
      <c r="P5" s="66" t="s">
        <v>65</v>
      </c>
      <c r="Q5" s="101" t="s">
        <v>85</v>
      </c>
      <c r="R5" s="101"/>
    </row>
    <row r="6" spans="1:18" ht="20.100000000000001" customHeight="1">
      <c r="B6" s="67"/>
      <c r="C6" s="68" t="s">
        <v>2</v>
      </c>
      <c r="D6" s="365" t="s">
        <v>298</v>
      </c>
      <c r="E6" s="175" t="s">
        <v>3</v>
      </c>
      <c r="F6" s="110">
        <v>39174</v>
      </c>
      <c r="G6" s="118">
        <v>3</v>
      </c>
      <c r="H6" s="179"/>
      <c r="I6" s="114"/>
      <c r="J6" s="118"/>
      <c r="K6" s="114"/>
      <c r="L6" s="118"/>
      <c r="M6" s="98"/>
      <c r="N6" s="106">
        <v>1</v>
      </c>
      <c r="O6" s="365"/>
      <c r="P6" s="69"/>
      <c r="Q6" s="102" t="s">
        <v>4</v>
      </c>
      <c r="R6" s="102"/>
    </row>
    <row r="7" spans="1:18" ht="20.100000000000001" customHeight="1">
      <c r="B7" s="67"/>
      <c r="C7" s="67"/>
      <c r="D7" s="366" t="s">
        <v>299</v>
      </c>
      <c r="E7" s="176" t="s">
        <v>5</v>
      </c>
      <c r="F7" s="111">
        <v>39177</v>
      </c>
      <c r="G7" s="119">
        <v>3</v>
      </c>
      <c r="H7" s="180"/>
      <c r="I7" s="115"/>
      <c r="J7" s="119"/>
      <c r="K7" s="115"/>
      <c r="L7" s="119"/>
      <c r="M7" s="99"/>
      <c r="N7" s="107">
        <v>1</v>
      </c>
      <c r="O7" s="366"/>
      <c r="P7" s="70"/>
      <c r="Q7" s="103" t="s">
        <v>4</v>
      </c>
      <c r="R7" s="103"/>
    </row>
    <row r="8" spans="1:18" ht="20.100000000000001" customHeight="1">
      <c r="B8" s="67"/>
      <c r="C8" s="71"/>
      <c r="D8" s="366" t="s">
        <v>300</v>
      </c>
      <c r="E8" s="176" t="s">
        <v>6</v>
      </c>
      <c r="F8" s="111">
        <v>39182</v>
      </c>
      <c r="G8" s="119">
        <v>1</v>
      </c>
      <c r="H8" s="180"/>
      <c r="I8" s="115"/>
      <c r="J8" s="119"/>
      <c r="K8" s="115"/>
      <c r="L8" s="119"/>
      <c r="M8" s="99"/>
      <c r="N8" s="107">
        <v>1</v>
      </c>
      <c r="O8" s="366"/>
      <c r="P8" s="70"/>
      <c r="Q8" s="103" t="s">
        <v>4</v>
      </c>
      <c r="R8" s="103"/>
    </row>
    <row r="9" spans="1:18" ht="20.100000000000001" customHeight="1">
      <c r="B9" s="67"/>
      <c r="C9" s="68" t="s">
        <v>7</v>
      </c>
      <c r="D9" s="365" t="s">
        <v>301</v>
      </c>
      <c r="E9" s="175" t="s">
        <v>8</v>
      </c>
      <c r="F9" s="110">
        <v>39183</v>
      </c>
      <c r="G9" s="118">
        <v>2</v>
      </c>
      <c r="H9" s="179"/>
      <c r="I9" s="114"/>
      <c r="J9" s="118"/>
      <c r="K9" s="114"/>
      <c r="L9" s="118"/>
      <c r="M9" s="98"/>
      <c r="N9" s="106">
        <v>1</v>
      </c>
      <c r="O9" s="365"/>
      <c r="P9" s="69"/>
      <c r="Q9" s="102" t="s">
        <v>4</v>
      </c>
      <c r="R9" s="102"/>
    </row>
    <row r="10" spans="1:18" ht="20.100000000000001" customHeight="1">
      <c r="B10" s="67"/>
      <c r="C10" s="67"/>
      <c r="D10" s="366" t="s">
        <v>302</v>
      </c>
      <c r="E10" s="176" t="s">
        <v>9</v>
      </c>
      <c r="F10" s="111">
        <v>39185</v>
      </c>
      <c r="G10" s="119">
        <v>5</v>
      </c>
      <c r="H10" s="180"/>
      <c r="I10" s="115"/>
      <c r="J10" s="119"/>
      <c r="K10" s="115"/>
      <c r="L10" s="119"/>
      <c r="M10" s="99"/>
      <c r="N10" s="107">
        <v>1</v>
      </c>
      <c r="O10" s="366"/>
      <c r="P10" s="70"/>
      <c r="Q10" s="103" t="s">
        <v>4</v>
      </c>
      <c r="R10" s="103"/>
    </row>
    <row r="11" spans="1:18" ht="20.100000000000001" customHeight="1">
      <c r="B11" s="67"/>
      <c r="C11" s="71"/>
      <c r="D11" s="366" t="s">
        <v>303</v>
      </c>
      <c r="E11" s="176" t="s">
        <v>10</v>
      </c>
      <c r="F11" s="111">
        <v>39192</v>
      </c>
      <c r="G11" s="119">
        <v>1</v>
      </c>
      <c r="H11" s="180"/>
      <c r="I11" s="115"/>
      <c r="J11" s="119"/>
      <c r="K11" s="115"/>
      <c r="L11" s="119"/>
      <c r="M11" s="99"/>
      <c r="N11" s="107">
        <v>1</v>
      </c>
      <c r="O11" s="366"/>
      <c r="P11" s="70"/>
      <c r="Q11" s="103" t="s">
        <v>4</v>
      </c>
      <c r="R11" s="103"/>
    </row>
    <row r="12" spans="1:18" ht="20.100000000000001" customHeight="1">
      <c r="B12" s="67"/>
      <c r="C12" s="68" t="s">
        <v>11</v>
      </c>
      <c r="D12" s="365" t="s">
        <v>304</v>
      </c>
      <c r="E12" s="175" t="s">
        <v>12</v>
      </c>
      <c r="F12" s="110">
        <v>39195</v>
      </c>
      <c r="G12" s="118">
        <v>5</v>
      </c>
      <c r="H12" s="179"/>
      <c r="I12" s="114"/>
      <c r="J12" s="118"/>
      <c r="K12" s="114"/>
      <c r="L12" s="118"/>
      <c r="M12" s="98"/>
      <c r="N12" s="106">
        <v>1</v>
      </c>
      <c r="O12" s="365"/>
      <c r="P12" s="69"/>
      <c r="Q12" s="102" t="s">
        <v>4</v>
      </c>
      <c r="R12" s="102"/>
    </row>
    <row r="13" spans="1:18" ht="20.100000000000001" customHeight="1">
      <c r="B13" s="72"/>
      <c r="C13" s="73"/>
      <c r="D13" s="367" t="s">
        <v>305</v>
      </c>
      <c r="E13" s="177" t="s">
        <v>80</v>
      </c>
      <c r="F13" s="112">
        <v>39203</v>
      </c>
      <c r="G13" s="120">
        <v>1</v>
      </c>
      <c r="H13" s="181"/>
      <c r="I13" s="116"/>
      <c r="J13" s="120"/>
      <c r="K13" s="116"/>
      <c r="L13" s="120"/>
      <c r="M13" s="100"/>
      <c r="N13" s="108">
        <v>1</v>
      </c>
      <c r="O13" s="367"/>
      <c r="P13" s="74"/>
      <c r="Q13" s="104" t="s">
        <v>86</v>
      </c>
      <c r="R13" s="104"/>
    </row>
    <row r="14" spans="1:18" ht="20.100000000000001" customHeight="1">
      <c r="B14" s="65" t="s">
        <v>76</v>
      </c>
      <c r="C14" s="65"/>
      <c r="D14" s="364">
        <v>10</v>
      </c>
      <c r="E14" s="174" t="s">
        <v>76</v>
      </c>
      <c r="F14" s="109">
        <v>39204</v>
      </c>
      <c r="G14" s="117">
        <v>32</v>
      </c>
      <c r="H14" s="178"/>
      <c r="I14" s="113"/>
      <c r="J14" s="117"/>
      <c r="K14" s="113"/>
      <c r="L14" s="117"/>
      <c r="M14" s="97"/>
      <c r="N14" s="105"/>
      <c r="O14" s="364" t="s">
        <v>306</v>
      </c>
      <c r="P14" s="75" t="s">
        <v>65</v>
      </c>
      <c r="Q14" s="101" t="s">
        <v>85</v>
      </c>
      <c r="R14" s="101"/>
    </row>
    <row r="15" spans="1:18" ht="20.100000000000001" customHeight="1">
      <c r="B15" s="67"/>
      <c r="C15" s="68" t="s">
        <v>13</v>
      </c>
      <c r="D15" s="365">
        <v>11</v>
      </c>
      <c r="E15" s="175" t="s">
        <v>14</v>
      </c>
      <c r="F15" s="110">
        <v>39204</v>
      </c>
      <c r="G15" s="118">
        <v>5</v>
      </c>
      <c r="H15" s="179"/>
      <c r="I15" s="114"/>
      <c r="J15" s="118"/>
      <c r="K15" s="114"/>
      <c r="L15" s="118"/>
      <c r="M15" s="98"/>
      <c r="N15" s="106">
        <v>1</v>
      </c>
      <c r="O15" s="365" t="s">
        <v>307</v>
      </c>
      <c r="P15" s="76"/>
      <c r="Q15" s="102" t="s">
        <v>15</v>
      </c>
      <c r="R15" s="102"/>
    </row>
    <row r="16" spans="1:18" ht="20.100000000000001" customHeight="1">
      <c r="B16" s="67"/>
      <c r="C16" s="67"/>
      <c r="D16" s="366">
        <v>12</v>
      </c>
      <c r="E16" s="176" t="s">
        <v>16</v>
      </c>
      <c r="F16" s="111">
        <v>39204</v>
      </c>
      <c r="G16" s="119">
        <v>5</v>
      </c>
      <c r="H16" s="180"/>
      <c r="I16" s="115"/>
      <c r="J16" s="119"/>
      <c r="K16" s="115"/>
      <c r="L16" s="119"/>
      <c r="M16" s="99"/>
      <c r="N16" s="107">
        <v>1</v>
      </c>
      <c r="O16" s="366" t="s">
        <v>307</v>
      </c>
      <c r="P16" s="77"/>
      <c r="Q16" s="103" t="s">
        <v>17</v>
      </c>
      <c r="R16" s="103"/>
    </row>
    <row r="17" spans="2:18" ht="20.100000000000001" customHeight="1">
      <c r="B17" s="67"/>
      <c r="C17" s="67"/>
      <c r="D17" s="366">
        <v>13</v>
      </c>
      <c r="E17" s="176" t="s">
        <v>18</v>
      </c>
      <c r="F17" s="111">
        <v>39213</v>
      </c>
      <c r="G17" s="119">
        <v>5</v>
      </c>
      <c r="H17" s="180"/>
      <c r="I17" s="115"/>
      <c r="J17" s="119"/>
      <c r="K17" s="115"/>
      <c r="L17" s="119"/>
      <c r="M17" s="99"/>
      <c r="N17" s="107">
        <v>1</v>
      </c>
      <c r="O17" s="366" t="s">
        <v>307</v>
      </c>
      <c r="P17" s="77"/>
      <c r="Q17" s="103" t="s">
        <v>17</v>
      </c>
      <c r="R17" s="103"/>
    </row>
    <row r="18" spans="2:18" ht="20.100000000000001" customHeight="1">
      <c r="B18" s="67"/>
      <c r="C18" s="67"/>
      <c r="D18" s="366">
        <v>14</v>
      </c>
      <c r="E18" s="176" t="s">
        <v>19</v>
      </c>
      <c r="F18" s="111">
        <v>39213</v>
      </c>
      <c r="G18" s="119">
        <v>10</v>
      </c>
      <c r="H18" s="180"/>
      <c r="I18" s="115"/>
      <c r="J18" s="119"/>
      <c r="K18" s="115"/>
      <c r="L18" s="119"/>
      <c r="M18" s="99"/>
      <c r="N18" s="107">
        <v>1</v>
      </c>
      <c r="O18" s="366" t="s">
        <v>307</v>
      </c>
      <c r="P18" s="77"/>
      <c r="Q18" s="103" t="s">
        <v>15</v>
      </c>
      <c r="R18" s="103"/>
    </row>
    <row r="19" spans="2:18" ht="20.100000000000001" customHeight="1">
      <c r="B19" s="67"/>
      <c r="C19" s="67"/>
      <c r="D19" s="366">
        <v>15</v>
      </c>
      <c r="E19" s="176" t="s">
        <v>20</v>
      </c>
      <c r="F19" s="111">
        <v>39227</v>
      </c>
      <c r="G19" s="119">
        <v>1</v>
      </c>
      <c r="H19" s="180"/>
      <c r="I19" s="115"/>
      <c r="J19" s="119"/>
      <c r="K19" s="115"/>
      <c r="L19" s="119"/>
      <c r="M19" s="99"/>
      <c r="N19" s="107">
        <v>1</v>
      </c>
      <c r="O19" s="366">
        <v>14</v>
      </c>
      <c r="P19" s="77"/>
      <c r="Q19" s="103" t="s">
        <v>15</v>
      </c>
      <c r="R19" s="103"/>
    </row>
    <row r="20" spans="2:18" ht="20.100000000000001" customHeight="1">
      <c r="B20" s="67"/>
      <c r="C20" s="67"/>
      <c r="D20" s="366">
        <v>16</v>
      </c>
      <c r="E20" s="176" t="s">
        <v>21</v>
      </c>
      <c r="F20" s="111">
        <v>39220</v>
      </c>
      <c r="G20" s="119">
        <v>5</v>
      </c>
      <c r="H20" s="180"/>
      <c r="I20" s="115"/>
      <c r="J20" s="119"/>
      <c r="K20" s="115"/>
      <c r="L20" s="119"/>
      <c r="M20" s="99"/>
      <c r="N20" s="107">
        <v>1</v>
      </c>
      <c r="O20" s="366" t="s">
        <v>307</v>
      </c>
      <c r="P20" s="77"/>
      <c r="Q20" s="103" t="s">
        <v>17</v>
      </c>
      <c r="R20" s="103"/>
    </row>
    <row r="21" spans="2:18" ht="20.100000000000001" customHeight="1">
      <c r="B21" s="67"/>
      <c r="C21" s="71"/>
      <c r="D21" s="366">
        <v>17</v>
      </c>
      <c r="E21" s="176" t="s">
        <v>22</v>
      </c>
      <c r="F21" s="111">
        <v>39227</v>
      </c>
      <c r="G21" s="119">
        <v>1</v>
      </c>
      <c r="H21" s="180"/>
      <c r="I21" s="115"/>
      <c r="J21" s="119"/>
      <c r="K21" s="115"/>
      <c r="L21" s="119"/>
      <c r="M21" s="99"/>
      <c r="N21" s="107">
        <v>1</v>
      </c>
      <c r="O21" s="366">
        <v>16</v>
      </c>
      <c r="P21" s="77"/>
      <c r="Q21" s="103" t="s">
        <v>17</v>
      </c>
      <c r="R21" s="103"/>
    </row>
    <row r="22" spans="2:18" ht="20.100000000000001" customHeight="1">
      <c r="B22" s="67"/>
      <c r="C22" s="68" t="s">
        <v>23</v>
      </c>
      <c r="D22" s="365">
        <v>18</v>
      </c>
      <c r="E22" s="175" t="s">
        <v>24</v>
      </c>
      <c r="F22" s="110">
        <v>39230</v>
      </c>
      <c r="G22" s="118">
        <v>5</v>
      </c>
      <c r="H22" s="179"/>
      <c r="I22" s="114"/>
      <c r="J22" s="118"/>
      <c r="K22" s="114"/>
      <c r="L22" s="118"/>
      <c r="M22" s="98"/>
      <c r="N22" s="106">
        <v>1</v>
      </c>
      <c r="O22" s="365">
        <v>15</v>
      </c>
      <c r="P22" s="78"/>
      <c r="Q22" s="102" t="s">
        <v>25</v>
      </c>
      <c r="R22" s="102"/>
    </row>
    <row r="23" spans="2:18" ht="20.100000000000001" customHeight="1">
      <c r="B23" s="67"/>
      <c r="C23" s="67"/>
      <c r="D23" s="366">
        <v>19</v>
      </c>
      <c r="E23" s="176" t="s">
        <v>26</v>
      </c>
      <c r="F23" s="111">
        <v>39237</v>
      </c>
      <c r="G23" s="119">
        <v>10</v>
      </c>
      <c r="H23" s="180"/>
      <c r="I23" s="115"/>
      <c r="J23" s="119"/>
      <c r="K23" s="115"/>
      <c r="L23" s="119"/>
      <c r="M23" s="99"/>
      <c r="N23" s="107">
        <v>1</v>
      </c>
      <c r="O23" s="366">
        <v>15</v>
      </c>
      <c r="P23" s="79"/>
      <c r="Q23" s="103" t="s">
        <v>25</v>
      </c>
      <c r="R23" s="103"/>
    </row>
    <row r="24" spans="2:18" ht="20.100000000000001" customHeight="1">
      <c r="B24" s="67"/>
      <c r="C24" s="67"/>
      <c r="D24" s="366">
        <v>20</v>
      </c>
      <c r="E24" s="176" t="s">
        <v>27</v>
      </c>
      <c r="F24" s="111">
        <v>39251</v>
      </c>
      <c r="G24" s="119">
        <v>1</v>
      </c>
      <c r="H24" s="180"/>
      <c r="I24" s="115"/>
      <c r="J24" s="119"/>
      <c r="K24" s="115"/>
      <c r="L24" s="119"/>
      <c r="M24" s="99"/>
      <c r="N24" s="107">
        <v>1</v>
      </c>
      <c r="O24" s="366">
        <v>19</v>
      </c>
      <c r="P24" s="79"/>
      <c r="Q24" s="103" t="s">
        <v>25</v>
      </c>
      <c r="R24" s="103"/>
    </row>
    <row r="25" spans="2:18" ht="20.100000000000001" customHeight="1">
      <c r="B25" s="67"/>
      <c r="C25" s="67"/>
      <c r="D25" s="366">
        <v>21</v>
      </c>
      <c r="E25" s="176" t="s">
        <v>28</v>
      </c>
      <c r="F25" s="111">
        <v>39230</v>
      </c>
      <c r="G25" s="119">
        <v>5</v>
      </c>
      <c r="H25" s="180"/>
      <c r="I25" s="115"/>
      <c r="J25" s="119"/>
      <c r="K25" s="115"/>
      <c r="L25" s="119"/>
      <c r="M25" s="99"/>
      <c r="N25" s="107">
        <v>1</v>
      </c>
      <c r="O25" s="366">
        <v>15</v>
      </c>
      <c r="P25" s="80"/>
      <c r="Q25" s="103" t="s">
        <v>29</v>
      </c>
      <c r="R25" s="103"/>
    </row>
    <row r="26" spans="2:18" ht="20.100000000000001" customHeight="1">
      <c r="B26" s="72"/>
      <c r="C26" s="73"/>
      <c r="D26" s="367">
        <v>22</v>
      </c>
      <c r="E26" s="177" t="s">
        <v>81</v>
      </c>
      <c r="F26" s="112">
        <v>39237</v>
      </c>
      <c r="G26" s="120">
        <v>1</v>
      </c>
      <c r="H26" s="181"/>
      <c r="I26" s="116"/>
      <c r="J26" s="120"/>
      <c r="K26" s="116"/>
      <c r="L26" s="120"/>
      <c r="M26" s="100"/>
      <c r="N26" s="108">
        <v>1</v>
      </c>
      <c r="O26" s="367">
        <v>21</v>
      </c>
      <c r="P26" s="81"/>
      <c r="Q26" s="104" t="s">
        <v>87</v>
      </c>
      <c r="R26" s="104"/>
    </row>
    <row r="27" spans="2:18" ht="20.100000000000001" customHeight="1">
      <c r="B27" s="65" t="s">
        <v>77</v>
      </c>
      <c r="C27" s="65"/>
      <c r="D27" s="364">
        <v>23</v>
      </c>
      <c r="E27" s="174" t="s">
        <v>82</v>
      </c>
      <c r="F27" s="109">
        <v>39252</v>
      </c>
      <c r="G27" s="117">
        <v>27</v>
      </c>
      <c r="H27" s="178"/>
      <c r="I27" s="113"/>
      <c r="J27" s="117"/>
      <c r="K27" s="113"/>
      <c r="L27" s="117"/>
      <c r="M27" s="97"/>
      <c r="N27" s="105"/>
      <c r="O27" s="364">
        <v>10</v>
      </c>
      <c r="P27" s="82" t="s">
        <v>65</v>
      </c>
      <c r="Q27" s="101" t="s">
        <v>85</v>
      </c>
      <c r="R27" s="101"/>
    </row>
    <row r="28" spans="2:18" ht="20.100000000000001" customHeight="1">
      <c r="B28" s="67"/>
      <c r="C28" s="68" t="s">
        <v>30</v>
      </c>
      <c r="D28" s="365">
        <v>24</v>
      </c>
      <c r="E28" s="175" t="s">
        <v>31</v>
      </c>
      <c r="F28" s="110">
        <v>39252</v>
      </c>
      <c r="G28" s="118">
        <v>10</v>
      </c>
      <c r="H28" s="179"/>
      <c r="I28" s="114"/>
      <c r="J28" s="118"/>
      <c r="K28" s="114"/>
      <c r="L28" s="118"/>
      <c r="M28" s="98"/>
      <c r="N28" s="106">
        <v>1</v>
      </c>
      <c r="O28" s="365">
        <v>20</v>
      </c>
      <c r="P28" s="83"/>
      <c r="Q28" s="102" t="s">
        <v>29</v>
      </c>
      <c r="R28" s="102"/>
    </row>
    <row r="29" spans="2:18" ht="20.100000000000001" customHeight="1">
      <c r="B29" s="67"/>
      <c r="C29" s="67"/>
      <c r="D29" s="366">
        <v>25</v>
      </c>
      <c r="E29" s="176" t="s">
        <v>32</v>
      </c>
      <c r="F29" s="111">
        <v>39266</v>
      </c>
      <c r="G29" s="119">
        <v>1</v>
      </c>
      <c r="H29" s="180"/>
      <c r="I29" s="115"/>
      <c r="J29" s="119"/>
      <c r="K29" s="115"/>
      <c r="L29" s="119"/>
      <c r="M29" s="99"/>
      <c r="N29" s="107">
        <v>1</v>
      </c>
      <c r="O29" s="366">
        <v>24</v>
      </c>
      <c r="P29" s="80"/>
      <c r="Q29" s="103" t="s">
        <v>29</v>
      </c>
      <c r="R29" s="103"/>
    </row>
    <row r="30" spans="2:18" ht="20.100000000000001" customHeight="1">
      <c r="B30" s="67"/>
      <c r="C30" s="67"/>
      <c r="D30" s="366">
        <v>26</v>
      </c>
      <c r="E30" s="176" t="s">
        <v>33</v>
      </c>
      <c r="F30" s="111">
        <v>39267</v>
      </c>
      <c r="G30" s="119">
        <v>7</v>
      </c>
      <c r="H30" s="180"/>
      <c r="I30" s="115"/>
      <c r="J30" s="119"/>
      <c r="K30" s="115"/>
      <c r="L30" s="119"/>
      <c r="M30" s="99"/>
      <c r="N30" s="107">
        <v>1</v>
      </c>
      <c r="O30" s="366">
        <v>25</v>
      </c>
      <c r="P30" s="80"/>
      <c r="Q30" s="103" t="s">
        <v>29</v>
      </c>
      <c r="R30" s="103"/>
    </row>
    <row r="31" spans="2:18" ht="20.100000000000001" customHeight="1">
      <c r="B31" s="67"/>
      <c r="C31" s="71"/>
      <c r="D31" s="366">
        <v>27</v>
      </c>
      <c r="E31" s="176" t="s">
        <v>34</v>
      </c>
      <c r="F31" s="111">
        <v>39276</v>
      </c>
      <c r="G31" s="119">
        <v>1</v>
      </c>
      <c r="H31" s="180"/>
      <c r="I31" s="115"/>
      <c r="J31" s="119"/>
      <c r="K31" s="115"/>
      <c r="L31" s="119"/>
      <c r="M31" s="99"/>
      <c r="N31" s="107">
        <v>1</v>
      </c>
      <c r="O31" s="366">
        <v>26</v>
      </c>
      <c r="P31" s="80"/>
      <c r="Q31" s="103" t="s">
        <v>29</v>
      </c>
      <c r="R31" s="103"/>
    </row>
    <row r="32" spans="2:18" ht="20.100000000000001" customHeight="1">
      <c r="B32" s="67"/>
      <c r="C32" s="68" t="s">
        <v>35</v>
      </c>
      <c r="D32" s="365">
        <v>28</v>
      </c>
      <c r="E32" s="175" t="s">
        <v>35</v>
      </c>
      <c r="F32" s="110">
        <v>39267</v>
      </c>
      <c r="G32" s="118">
        <v>10</v>
      </c>
      <c r="H32" s="179"/>
      <c r="I32" s="114"/>
      <c r="J32" s="118"/>
      <c r="K32" s="114"/>
      <c r="L32" s="118"/>
      <c r="M32" s="98"/>
      <c r="N32" s="106">
        <v>1</v>
      </c>
      <c r="O32" s="365">
        <v>25</v>
      </c>
      <c r="P32" s="84"/>
      <c r="Q32" s="102" t="s">
        <v>36</v>
      </c>
      <c r="R32" s="102"/>
    </row>
    <row r="33" spans="2:18" ht="20.100000000000001" customHeight="1">
      <c r="B33" s="67"/>
      <c r="C33" s="67"/>
      <c r="D33" s="366">
        <v>29</v>
      </c>
      <c r="E33" s="176" t="s">
        <v>37</v>
      </c>
      <c r="F33" s="111">
        <v>39282</v>
      </c>
      <c r="G33" s="119">
        <v>5</v>
      </c>
      <c r="H33" s="180"/>
      <c r="I33" s="115"/>
      <c r="J33" s="119"/>
      <c r="K33" s="115"/>
      <c r="L33" s="119"/>
      <c r="M33" s="99"/>
      <c r="N33" s="107">
        <v>1</v>
      </c>
      <c r="O33" s="366">
        <v>28</v>
      </c>
      <c r="P33" s="85"/>
      <c r="Q33" s="103" t="s">
        <v>36</v>
      </c>
      <c r="R33" s="103"/>
    </row>
    <row r="34" spans="2:18" ht="20.100000000000001" customHeight="1">
      <c r="B34" s="72"/>
      <c r="C34" s="73"/>
      <c r="D34" s="367">
        <v>30</v>
      </c>
      <c r="E34" s="177" t="s">
        <v>83</v>
      </c>
      <c r="F34" s="112">
        <v>39289</v>
      </c>
      <c r="G34" s="120">
        <v>1</v>
      </c>
      <c r="H34" s="181"/>
      <c r="I34" s="116"/>
      <c r="J34" s="120"/>
      <c r="K34" s="116"/>
      <c r="L34" s="120"/>
      <c r="M34" s="100"/>
      <c r="N34" s="108">
        <v>1</v>
      </c>
      <c r="O34" s="367">
        <v>29</v>
      </c>
      <c r="P34" s="86"/>
      <c r="Q34" s="104" t="s">
        <v>88</v>
      </c>
      <c r="R34" s="104"/>
    </row>
    <row r="35" spans="2:18" ht="20.100000000000001" customHeight="1">
      <c r="B35" s="65" t="s">
        <v>78</v>
      </c>
      <c r="C35" s="65"/>
      <c r="D35" s="364">
        <v>31</v>
      </c>
      <c r="E35" s="174" t="s">
        <v>78</v>
      </c>
      <c r="F35" s="109">
        <v>39290</v>
      </c>
      <c r="G35" s="117">
        <v>28</v>
      </c>
      <c r="H35" s="178"/>
      <c r="I35" s="113"/>
      <c r="J35" s="117"/>
      <c r="K35" s="113"/>
      <c r="L35" s="117"/>
      <c r="M35" s="97"/>
      <c r="N35" s="105"/>
      <c r="O35" s="364">
        <v>23</v>
      </c>
      <c r="P35" s="87" t="s">
        <v>65</v>
      </c>
      <c r="Q35" s="101" t="s">
        <v>85</v>
      </c>
      <c r="R35" s="101"/>
    </row>
    <row r="36" spans="2:18" ht="20.100000000000001" customHeight="1">
      <c r="B36" s="67"/>
      <c r="C36" s="68" t="s">
        <v>38</v>
      </c>
      <c r="D36" s="365">
        <v>32</v>
      </c>
      <c r="E36" s="175" t="s">
        <v>39</v>
      </c>
      <c r="F36" s="110">
        <v>39282</v>
      </c>
      <c r="G36" s="118">
        <v>5</v>
      </c>
      <c r="H36" s="179"/>
      <c r="I36" s="114"/>
      <c r="J36" s="118"/>
      <c r="K36" s="114"/>
      <c r="L36" s="118"/>
      <c r="M36" s="98"/>
      <c r="N36" s="106">
        <v>1</v>
      </c>
      <c r="O36" s="365">
        <v>28</v>
      </c>
      <c r="P36" s="84"/>
      <c r="Q36" s="102" t="s">
        <v>40</v>
      </c>
      <c r="R36" s="102"/>
    </row>
    <row r="37" spans="2:18" ht="20.100000000000001" customHeight="1">
      <c r="B37" s="67"/>
      <c r="C37" s="67"/>
      <c r="D37" s="366">
        <v>33</v>
      </c>
      <c r="E37" s="176" t="s">
        <v>41</v>
      </c>
      <c r="F37" s="111">
        <v>39290</v>
      </c>
      <c r="G37" s="119">
        <v>8</v>
      </c>
      <c r="H37" s="180"/>
      <c r="I37" s="115"/>
      <c r="J37" s="119"/>
      <c r="K37" s="115"/>
      <c r="L37" s="119"/>
      <c r="M37" s="99"/>
      <c r="N37" s="107">
        <v>1</v>
      </c>
      <c r="O37" s="366">
        <v>30</v>
      </c>
      <c r="P37" s="85"/>
      <c r="Q37" s="103" t="s">
        <v>40</v>
      </c>
      <c r="R37" s="103"/>
    </row>
    <row r="38" spans="2:18" ht="20.100000000000001" customHeight="1">
      <c r="B38" s="67"/>
      <c r="C38" s="71"/>
      <c r="D38" s="366">
        <v>34</v>
      </c>
      <c r="E38" s="176" t="s">
        <v>42</v>
      </c>
      <c r="F38" s="111">
        <v>39302</v>
      </c>
      <c r="G38" s="119">
        <v>1</v>
      </c>
      <c r="H38" s="180"/>
      <c r="I38" s="115"/>
      <c r="J38" s="119"/>
      <c r="K38" s="115"/>
      <c r="L38" s="119"/>
      <c r="M38" s="99"/>
      <c r="N38" s="107">
        <v>1</v>
      </c>
      <c r="O38" s="366">
        <v>33</v>
      </c>
      <c r="P38" s="85"/>
      <c r="Q38" s="103" t="s">
        <v>40</v>
      </c>
      <c r="R38" s="103"/>
    </row>
    <row r="39" spans="2:18" ht="20.100000000000001" customHeight="1">
      <c r="B39" s="67"/>
      <c r="C39" s="68" t="s">
        <v>43</v>
      </c>
      <c r="D39" s="365">
        <v>35</v>
      </c>
      <c r="E39" s="175" t="s">
        <v>44</v>
      </c>
      <c r="F39" s="110">
        <v>39290</v>
      </c>
      <c r="G39" s="118">
        <v>5</v>
      </c>
      <c r="H39" s="179"/>
      <c r="I39" s="114"/>
      <c r="J39" s="118"/>
      <c r="K39" s="114"/>
      <c r="L39" s="118"/>
      <c r="M39" s="98"/>
      <c r="N39" s="106">
        <v>1</v>
      </c>
      <c r="O39" s="365">
        <v>32</v>
      </c>
      <c r="P39" s="84"/>
      <c r="Q39" s="102" t="s">
        <v>36</v>
      </c>
      <c r="R39" s="102"/>
    </row>
    <row r="40" spans="2:18" ht="20.100000000000001" customHeight="1">
      <c r="B40" s="67"/>
      <c r="C40" s="67"/>
      <c r="D40" s="366">
        <v>36</v>
      </c>
      <c r="E40" s="176" t="s">
        <v>45</v>
      </c>
      <c r="F40" s="111">
        <v>39303</v>
      </c>
      <c r="G40" s="119">
        <v>10</v>
      </c>
      <c r="H40" s="180"/>
      <c r="I40" s="115"/>
      <c r="J40" s="119"/>
      <c r="K40" s="115"/>
      <c r="L40" s="119"/>
      <c r="M40" s="99"/>
      <c r="N40" s="107">
        <v>1</v>
      </c>
      <c r="O40" s="366">
        <v>34</v>
      </c>
      <c r="P40" s="85"/>
      <c r="Q40" s="103" t="s">
        <v>36</v>
      </c>
      <c r="R40" s="103"/>
    </row>
    <row r="41" spans="2:18" ht="20.100000000000001" customHeight="1">
      <c r="B41" s="67"/>
      <c r="C41" s="71"/>
      <c r="D41" s="366">
        <v>37</v>
      </c>
      <c r="E41" s="176" t="s">
        <v>46</v>
      </c>
      <c r="F41" s="111">
        <v>39317</v>
      </c>
      <c r="G41" s="119">
        <v>1</v>
      </c>
      <c r="H41" s="180"/>
      <c r="I41" s="115"/>
      <c r="J41" s="119"/>
      <c r="K41" s="115"/>
      <c r="L41" s="119"/>
      <c r="M41" s="99"/>
      <c r="N41" s="107">
        <v>1</v>
      </c>
      <c r="O41" s="366">
        <v>36</v>
      </c>
      <c r="P41" s="85"/>
      <c r="Q41" s="103" t="s">
        <v>36</v>
      </c>
      <c r="R41" s="103"/>
    </row>
    <row r="42" spans="2:18" ht="20.100000000000001" customHeight="1">
      <c r="B42" s="67"/>
      <c r="C42" s="68" t="s">
        <v>47</v>
      </c>
      <c r="D42" s="365">
        <v>38</v>
      </c>
      <c r="E42" s="175" t="s">
        <v>48</v>
      </c>
      <c r="F42" s="110">
        <v>39297</v>
      </c>
      <c r="G42" s="118">
        <v>5</v>
      </c>
      <c r="H42" s="179"/>
      <c r="I42" s="114"/>
      <c r="J42" s="118"/>
      <c r="K42" s="114"/>
      <c r="L42" s="118"/>
      <c r="M42" s="98"/>
      <c r="N42" s="106">
        <v>1</v>
      </c>
      <c r="O42" s="365">
        <v>35</v>
      </c>
      <c r="P42" s="88"/>
      <c r="Q42" s="102" t="s">
        <v>49</v>
      </c>
      <c r="R42" s="102"/>
    </row>
    <row r="43" spans="2:18" ht="20.100000000000001" customHeight="1">
      <c r="B43" s="67"/>
      <c r="C43" s="67"/>
      <c r="D43" s="366">
        <v>39</v>
      </c>
      <c r="E43" s="176" t="s">
        <v>50</v>
      </c>
      <c r="F43" s="111">
        <v>39318</v>
      </c>
      <c r="G43" s="119">
        <v>5</v>
      </c>
      <c r="H43" s="180"/>
      <c r="I43" s="115"/>
      <c r="J43" s="119"/>
      <c r="K43" s="115"/>
      <c r="L43" s="119"/>
      <c r="M43" s="99"/>
      <c r="N43" s="107">
        <v>1</v>
      </c>
      <c r="O43" s="366">
        <v>37</v>
      </c>
      <c r="P43" s="89"/>
      <c r="Q43" s="103" t="s">
        <v>49</v>
      </c>
      <c r="R43" s="103"/>
    </row>
    <row r="44" spans="2:18" ht="20.100000000000001" customHeight="1">
      <c r="B44" s="67"/>
      <c r="C44" s="71"/>
      <c r="D44" s="366">
        <v>40</v>
      </c>
      <c r="E44" s="176" t="s">
        <v>51</v>
      </c>
      <c r="F44" s="111">
        <v>39325</v>
      </c>
      <c r="G44" s="119">
        <v>1</v>
      </c>
      <c r="H44" s="180"/>
      <c r="I44" s="115"/>
      <c r="J44" s="119"/>
      <c r="K44" s="115"/>
      <c r="L44" s="119"/>
      <c r="M44" s="99"/>
      <c r="N44" s="107">
        <v>1</v>
      </c>
      <c r="O44" s="366">
        <v>39</v>
      </c>
      <c r="P44" s="89"/>
      <c r="Q44" s="103" t="s">
        <v>49</v>
      </c>
      <c r="R44" s="103"/>
    </row>
    <row r="45" spans="2:18" ht="20.100000000000001" customHeight="1">
      <c r="B45" s="72"/>
      <c r="C45" s="90" t="s">
        <v>79</v>
      </c>
      <c r="D45" s="367">
        <v>41</v>
      </c>
      <c r="E45" s="177" t="s">
        <v>84</v>
      </c>
      <c r="F45" s="112">
        <v>39328</v>
      </c>
      <c r="G45" s="120">
        <v>2</v>
      </c>
      <c r="H45" s="181"/>
      <c r="I45" s="116"/>
      <c r="J45" s="120"/>
      <c r="K45" s="116"/>
      <c r="L45" s="120"/>
      <c r="M45" s="100"/>
      <c r="N45" s="108">
        <v>1</v>
      </c>
      <c r="O45" s="367">
        <v>40</v>
      </c>
      <c r="P45" s="91"/>
      <c r="Q45" s="104" t="s">
        <v>89</v>
      </c>
      <c r="R45" s="104"/>
    </row>
  </sheetData>
  <autoFilter ref="Q4:Q45"/>
  <dataConsolidate/>
  <phoneticPr fontId="4"/>
  <pageMargins left="0.75" right="0.75" top="1" bottom="1" header="0.51200000000000001" footer="0.51200000000000001"/>
  <pageSetup paperSize="9" orientation="portrait" horizontalDpi="0" verticalDpi="0" r:id="rId1"/>
  <headerFooter alignWithMargins="0"/>
  <drawing r:id="rId2"/>
  <legacyDrawing r:id="rId3"/>
  <picture r:id="rId4"/>
  <controls>
    <mc:AlternateContent xmlns:mc="http://schemas.openxmlformats.org/markup-compatibility/2006">
      <mc:Choice Requires="x14">
        <control shapeId="4098" r:id="rId5" name="BTN_BaseProcess_FileGet">
          <controlPr defaultSize="0" autoLine="0" autoPict="0" r:id="rId6">
            <anchor moveWithCells="1">
              <from>
                <xdr:col>4</xdr:col>
                <xdr:colOff>742950</xdr:colOff>
                <xdr:row>1</xdr:row>
                <xdr:rowOff>28575</xdr:rowOff>
              </from>
              <to>
                <xdr:col>4</xdr:col>
                <xdr:colOff>1514475</xdr:colOff>
                <xdr:row>1</xdr:row>
                <xdr:rowOff>342900</xdr:rowOff>
              </to>
            </anchor>
          </controlPr>
        </control>
      </mc:Choice>
      <mc:Fallback>
        <control shapeId="4098" r:id="rId5" name="BTN_BaseProcess_FileGet"/>
      </mc:Fallback>
    </mc:AlternateContent>
    <mc:AlternateContent xmlns:mc="http://schemas.openxmlformats.org/markup-compatibility/2006">
      <mc:Choice Requires="x14">
        <control shapeId="4097" r:id="rId7" name="BTN_BaseProcess_FilePut">
          <controlPr defaultSize="0" autoLine="0" autoPict="0" r:id="rId8">
            <anchor moveWithCells="1">
              <from>
                <xdr:col>3</xdr:col>
                <xdr:colOff>409575</xdr:colOff>
                <xdr:row>1</xdr:row>
                <xdr:rowOff>28575</xdr:rowOff>
              </from>
              <to>
                <xdr:col>4</xdr:col>
                <xdr:colOff>733425</xdr:colOff>
                <xdr:row>1</xdr:row>
                <xdr:rowOff>342900</xdr:rowOff>
              </to>
            </anchor>
          </controlPr>
        </control>
      </mc:Choice>
      <mc:Fallback>
        <control shapeId="4097" r:id="rId7" name="BTN_BaseProcess_FilePut"/>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52"/>
  </sheetPr>
  <dimension ref="A1:AI63"/>
  <sheetViews>
    <sheetView showGridLines="0" zoomScale="75" zoomScaleNormal="75" workbookViewId="0">
      <selection activeCell="F6" sqref="F6"/>
    </sheetView>
  </sheetViews>
  <sheetFormatPr defaultRowHeight="20.100000000000001" customHeight="1"/>
  <cols>
    <col min="1" max="1" width="3.7109375" style="93" customWidth="1"/>
    <col min="2" max="2" width="2.85546875" style="92" customWidth="1"/>
    <col min="3" max="3" width="21.140625" style="93" customWidth="1"/>
    <col min="4" max="4" width="5.85546875" style="92" customWidth="1"/>
    <col min="5" max="5" width="12.7109375" style="92" customWidth="1"/>
    <col min="6" max="6" width="8.7109375" style="92" customWidth="1"/>
    <col min="7" max="7" width="5.85546875" style="92" customWidth="1"/>
    <col min="8" max="8" width="12.7109375" style="92" customWidth="1"/>
    <col min="9" max="9" width="10" style="92" customWidth="1"/>
    <col min="10" max="10" width="2.5703125" style="92" customWidth="1"/>
    <col min="11" max="11" width="3.7109375" style="92" customWidth="1"/>
    <col min="12" max="12" width="2.5703125" style="92" customWidth="1"/>
    <col min="13" max="13" width="18.5703125" style="92" customWidth="1"/>
    <col min="14" max="14" width="5.85546875" style="92" customWidth="1"/>
    <col min="15" max="15" width="18.5703125" style="92" customWidth="1"/>
    <col min="16" max="16" width="2.7109375" style="92" customWidth="1"/>
    <col min="17" max="17" width="3.7109375" style="92" customWidth="1"/>
    <col min="18" max="18" width="2.85546875" style="92" customWidth="1"/>
    <col min="19" max="19" width="10.7109375" style="92" customWidth="1"/>
    <col min="20" max="20" width="12.7109375" style="92" customWidth="1"/>
    <col min="21" max="21" width="5.85546875" style="92" customWidth="1"/>
    <col min="22" max="22" width="2" style="92" customWidth="1"/>
    <col min="23" max="23" width="10.7109375" style="93" customWidth="1"/>
    <col min="24" max="24" width="12.7109375" style="93" customWidth="1"/>
    <col min="25" max="25" width="6.42578125" style="93" customWidth="1"/>
    <col min="26" max="26" width="14.7109375" style="93" customWidth="1"/>
    <col min="27" max="27" width="8.7109375" style="93" customWidth="1"/>
    <col min="28" max="28" width="2.85546875" style="93" customWidth="1"/>
    <col min="29" max="29" width="5.5703125" style="93" customWidth="1"/>
    <col min="30" max="30" width="3.28515625" style="93" customWidth="1"/>
    <col min="31" max="31" width="12.7109375" style="93" customWidth="1"/>
    <col min="32" max="32" width="3.28515625" style="93" customWidth="1"/>
    <col min="33" max="33" width="12.7109375" style="93" customWidth="1"/>
    <col min="34" max="34" width="3.28515625" style="93" customWidth="1"/>
    <col min="35" max="35" width="2.85546875" style="93" customWidth="1"/>
    <col min="36" max="16384" width="9.140625" style="93"/>
  </cols>
  <sheetData>
    <row r="1" spans="1:35" ht="19.5" customHeight="1" thickBot="1">
      <c r="A1" s="57"/>
    </row>
    <row r="2" spans="1:35" s="92" customFormat="1" ht="27.75" customHeight="1" thickTop="1" thickBot="1">
      <c r="A2" s="223"/>
      <c r="B2" s="231"/>
      <c r="C2" s="232" t="s">
        <v>142</v>
      </c>
      <c r="D2" s="233"/>
      <c r="E2" s="233"/>
      <c r="F2" s="234"/>
      <c r="G2" s="233"/>
      <c r="H2" s="233"/>
      <c r="I2" s="234"/>
      <c r="J2" s="233"/>
      <c r="K2" s="240"/>
      <c r="L2" s="231"/>
      <c r="M2" s="232" t="s">
        <v>225</v>
      </c>
      <c r="N2" s="233"/>
      <c r="O2" s="234"/>
      <c r="P2" s="235"/>
      <c r="Q2" s="230"/>
      <c r="R2" s="224"/>
      <c r="S2" s="228" t="s">
        <v>229</v>
      </c>
      <c r="T2" s="222"/>
      <c r="U2" s="204"/>
      <c r="V2" s="204"/>
      <c r="W2" s="204"/>
      <c r="X2" s="222"/>
      <c r="Y2" s="204"/>
      <c r="Z2" s="222"/>
      <c r="AA2" s="222"/>
      <c r="AB2" s="204"/>
      <c r="AC2" s="225"/>
      <c r="AD2" s="250"/>
      <c r="AE2" s="251" t="s">
        <v>295</v>
      </c>
      <c r="AF2" s="252"/>
      <c r="AG2" s="253"/>
      <c r="AH2" s="254"/>
      <c r="AI2" s="223"/>
    </row>
    <row r="3" spans="1:35" s="92" customFormat="1" ht="17.25" customHeight="1" thickTop="1">
      <c r="A3" s="223"/>
      <c r="B3" s="236"/>
      <c r="C3" s="237"/>
      <c r="D3" s="238"/>
      <c r="E3" s="238"/>
      <c r="F3" s="238"/>
      <c r="G3" s="238"/>
      <c r="H3" s="238"/>
      <c r="I3" s="238"/>
      <c r="J3" s="238"/>
      <c r="K3" s="240"/>
      <c r="L3" s="236"/>
      <c r="M3" s="238"/>
      <c r="N3" s="238"/>
      <c r="O3" s="238"/>
      <c r="P3" s="239"/>
      <c r="Q3" s="230"/>
      <c r="R3" s="225"/>
      <c r="S3" s="137"/>
      <c r="T3" s="137"/>
      <c r="U3" s="137"/>
      <c r="V3" s="137"/>
      <c r="W3" s="137"/>
      <c r="X3" s="137"/>
      <c r="Y3" s="137"/>
      <c r="Z3" s="137"/>
      <c r="AA3" s="137"/>
      <c r="AB3" s="137"/>
      <c r="AC3" s="225"/>
      <c r="AD3" s="259"/>
      <c r="AE3" s="260"/>
      <c r="AF3" s="261"/>
      <c r="AG3" s="261"/>
      <c r="AH3" s="262"/>
      <c r="AI3" s="223"/>
    </row>
    <row r="4" spans="1:35" s="92" customFormat="1" ht="16.5" customHeight="1" thickBot="1">
      <c r="A4" s="223"/>
      <c r="B4" s="240"/>
      <c r="C4" s="299" t="s">
        <v>143</v>
      </c>
      <c r="D4" s="137"/>
      <c r="E4" s="535" t="s">
        <v>150</v>
      </c>
      <c r="F4" s="536"/>
      <c r="G4" s="137"/>
      <c r="H4" s="535" t="s">
        <v>179</v>
      </c>
      <c r="I4" s="536"/>
      <c r="J4" s="137"/>
      <c r="K4" s="240"/>
      <c r="L4" s="240"/>
      <c r="M4" s="299" t="s">
        <v>226</v>
      </c>
      <c r="N4" s="137"/>
      <c r="O4" s="299" t="s">
        <v>227</v>
      </c>
      <c r="P4" s="241"/>
      <c r="Q4" s="230"/>
      <c r="R4" s="225"/>
      <c r="S4" s="535" t="s">
        <v>230</v>
      </c>
      <c r="T4" s="536"/>
      <c r="U4" s="137"/>
      <c r="V4" s="137"/>
      <c r="W4" s="535" t="s">
        <v>261</v>
      </c>
      <c r="X4" s="536"/>
      <c r="Y4" s="137"/>
      <c r="Z4" s="537" t="s">
        <v>283</v>
      </c>
      <c r="AA4" s="538"/>
      <c r="AB4" s="137"/>
      <c r="AC4" s="225"/>
      <c r="AD4" s="248"/>
      <c r="AE4" s="129"/>
      <c r="AF4" s="129"/>
      <c r="AG4" s="129"/>
      <c r="AH4" s="249"/>
      <c r="AI4" s="223"/>
    </row>
    <row r="5" spans="1:35" ht="20.100000000000001" customHeight="1" thickBot="1">
      <c r="A5" s="57"/>
      <c r="B5" s="240"/>
      <c r="C5" s="285" t="s">
        <v>144</v>
      </c>
      <c r="D5" s="137"/>
      <c r="E5" s="282" t="s">
        <v>151</v>
      </c>
      <c r="F5" s="287"/>
      <c r="G5" s="137"/>
      <c r="H5" s="282" t="s">
        <v>180</v>
      </c>
      <c r="I5" s="287"/>
      <c r="J5" s="137"/>
      <c r="K5" s="240"/>
      <c r="L5" s="240"/>
      <c r="M5" s="185">
        <v>43097</v>
      </c>
      <c r="N5" s="137"/>
      <c r="O5" s="185"/>
      <c r="P5" s="242"/>
      <c r="Q5" s="229"/>
      <c r="R5" s="225"/>
      <c r="S5" s="282" t="s">
        <v>231</v>
      </c>
      <c r="T5" s="289"/>
      <c r="U5" s="137"/>
      <c r="V5" s="137"/>
      <c r="W5" s="310" t="s">
        <v>262</v>
      </c>
      <c r="X5" s="339">
        <v>36526</v>
      </c>
      <c r="Y5" s="207"/>
      <c r="Z5" s="208"/>
      <c r="AA5" s="129"/>
      <c r="AB5" s="129"/>
      <c r="AC5" s="225"/>
      <c r="AD5" s="248"/>
      <c r="AE5" s="333" t="s">
        <v>104</v>
      </c>
      <c r="AF5" s="129"/>
      <c r="AG5" s="145" t="s">
        <v>104</v>
      </c>
      <c r="AH5" s="249"/>
      <c r="AI5" s="57"/>
    </row>
    <row r="6" spans="1:35" ht="20.100000000000001" customHeight="1">
      <c r="A6" s="57"/>
      <c r="B6" s="240"/>
      <c r="C6" s="201"/>
      <c r="D6" s="137"/>
      <c r="E6" s="188" t="s">
        <v>152</v>
      </c>
      <c r="F6" s="215" t="s">
        <v>328</v>
      </c>
      <c r="G6" s="137"/>
      <c r="H6" s="292" t="s">
        <v>181</v>
      </c>
      <c r="I6" s="324" t="s">
        <v>312</v>
      </c>
      <c r="J6" s="137"/>
      <c r="K6" s="240"/>
      <c r="L6" s="240"/>
      <c r="M6" s="186">
        <v>43098</v>
      </c>
      <c r="N6" s="137"/>
      <c r="O6" s="186"/>
      <c r="P6" s="242"/>
      <c r="Q6" s="229"/>
      <c r="R6" s="225"/>
      <c r="S6" s="312" t="s">
        <v>127</v>
      </c>
      <c r="T6" s="333" t="s">
        <v>104</v>
      </c>
      <c r="U6" s="137"/>
      <c r="V6" s="137"/>
      <c r="W6" s="302" t="s">
        <v>263</v>
      </c>
      <c r="X6" s="340">
        <v>39083</v>
      </c>
      <c r="Y6" s="209"/>
      <c r="Z6" s="362" t="s">
        <v>296</v>
      </c>
      <c r="AA6" s="129"/>
      <c r="AB6" s="129"/>
      <c r="AC6" s="225"/>
      <c r="AD6" s="248"/>
      <c r="AE6" s="334" t="s">
        <v>106</v>
      </c>
      <c r="AF6" s="129"/>
      <c r="AG6" s="146" t="s">
        <v>106</v>
      </c>
      <c r="AH6" s="249"/>
      <c r="AI6" s="57"/>
    </row>
    <row r="7" spans="1:35" ht="20.100000000000001" customHeight="1" thickBot="1">
      <c r="A7" s="57"/>
      <c r="B7" s="240"/>
      <c r="C7" s="201"/>
      <c r="D7" s="137"/>
      <c r="E7" s="198" t="s">
        <v>153</v>
      </c>
      <c r="F7" s="216" t="s">
        <v>327</v>
      </c>
      <c r="G7" s="137"/>
      <c r="H7" s="293" t="s">
        <v>182</v>
      </c>
      <c r="I7" s="325" t="s">
        <v>313</v>
      </c>
      <c r="J7" s="137"/>
      <c r="K7" s="240"/>
      <c r="L7" s="240"/>
      <c r="M7" s="186">
        <v>43104</v>
      </c>
      <c r="N7" s="137"/>
      <c r="O7" s="186"/>
      <c r="P7" s="242"/>
      <c r="Q7" s="229"/>
      <c r="R7" s="225"/>
      <c r="S7" s="302" t="s">
        <v>106</v>
      </c>
      <c r="T7" s="334" t="s">
        <v>106</v>
      </c>
      <c r="U7" s="137"/>
      <c r="V7" s="137"/>
      <c r="W7" s="311" t="s">
        <v>127</v>
      </c>
      <c r="X7" s="341"/>
      <c r="Y7" s="210"/>
      <c r="Z7" s="363">
        <v>0</v>
      </c>
      <c r="AA7" s="129"/>
      <c r="AB7" s="129"/>
      <c r="AC7" s="225"/>
      <c r="AD7" s="248"/>
      <c r="AE7" s="335" t="s">
        <v>99</v>
      </c>
      <c r="AF7" s="129"/>
      <c r="AG7" s="147" t="s">
        <v>99</v>
      </c>
      <c r="AH7" s="249"/>
      <c r="AI7" s="57"/>
    </row>
    <row r="8" spans="1:35" ht="20.100000000000001" customHeight="1" thickTop="1" thickBot="1">
      <c r="A8" s="57"/>
      <c r="B8" s="240"/>
      <c r="C8" s="201"/>
      <c r="D8" s="137"/>
      <c r="E8" s="199" t="s">
        <v>154</v>
      </c>
      <c r="F8" s="217" t="s">
        <v>328</v>
      </c>
      <c r="G8" s="137"/>
      <c r="H8" s="294" t="s">
        <v>183</v>
      </c>
      <c r="I8" s="384" t="s">
        <v>314</v>
      </c>
      <c r="J8" s="137"/>
      <c r="K8" s="240"/>
      <c r="L8" s="240"/>
      <c r="M8" s="186">
        <v>43105</v>
      </c>
      <c r="N8" s="137"/>
      <c r="O8" s="186"/>
      <c r="P8" s="242"/>
      <c r="Q8" s="229"/>
      <c r="R8" s="225"/>
      <c r="S8" s="302" t="s">
        <v>232</v>
      </c>
      <c r="T8" s="335" t="s">
        <v>99</v>
      </c>
      <c r="U8" s="137"/>
      <c r="V8" s="137"/>
      <c r="W8" s="298" t="s">
        <v>264</v>
      </c>
      <c r="X8" s="342" t="s">
        <v>204</v>
      </c>
      <c r="Y8" s="207"/>
      <c r="Z8" s="208"/>
      <c r="AA8" s="129"/>
      <c r="AB8" s="129"/>
      <c r="AC8" s="225"/>
      <c r="AD8" s="248"/>
      <c r="AE8" s="335" t="s">
        <v>100</v>
      </c>
      <c r="AF8" s="129"/>
      <c r="AG8" s="147" t="s">
        <v>100</v>
      </c>
      <c r="AH8" s="249"/>
      <c r="AI8" s="57"/>
    </row>
    <row r="9" spans="1:35" ht="20.100000000000001" customHeight="1">
      <c r="A9" s="57"/>
      <c r="B9" s="240"/>
      <c r="C9" s="201"/>
      <c r="D9" s="137"/>
      <c r="E9" s="198" t="s">
        <v>155</v>
      </c>
      <c r="F9" s="200">
        <v>20</v>
      </c>
      <c r="G9" s="137"/>
      <c r="H9" s="137"/>
      <c r="I9" s="137"/>
      <c r="J9" s="137"/>
      <c r="K9" s="240"/>
      <c r="L9" s="240"/>
      <c r="M9" s="186"/>
      <c r="N9" s="137"/>
      <c r="O9" s="186"/>
      <c r="P9" s="242"/>
      <c r="Q9" s="229"/>
      <c r="R9" s="225"/>
      <c r="S9" s="302" t="s">
        <v>233</v>
      </c>
      <c r="T9" s="335" t="s">
        <v>100</v>
      </c>
      <c r="U9" s="137"/>
      <c r="V9" s="137"/>
      <c r="W9" s="137"/>
      <c r="X9" s="137"/>
      <c r="Y9" s="137"/>
      <c r="Z9" s="208"/>
      <c r="AA9" s="129"/>
      <c r="AB9" s="129"/>
      <c r="AC9" s="225"/>
      <c r="AD9" s="248"/>
      <c r="AE9" s="142" t="s">
        <v>101</v>
      </c>
      <c r="AF9" s="129"/>
      <c r="AG9" s="148" t="s">
        <v>101</v>
      </c>
      <c r="AH9" s="249"/>
      <c r="AI9" s="57"/>
    </row>
    <row r="10" spans="1:35" ht="20.100000000000001" customHeight="1" thickBot="1">
      <c r="A10" s="57"/>
      <c r="B10" s="240"/>
      <c r="C10" s="201"/>
      <c r="D10" s="137"/>
      <c r="E10" s="381" t="s">
        <v>156</v>
      </c>
      <c r="F10" s="382" t="s">
        <v>309</v>
      </c>
      <c r="G10" s="137"/>
      <c r="H10" s="535" t="s">
        <v>184</v>
      </c>
      <c r="I10" s="536"/>
      <c r="J10" s="137"/>
      <c r="K10" s="240"/>
      <c r="L10" s="240"/>
      <c r="M10" s="186"/>
      <c r="N10" s="137"/>
      <c r="O10" s="186"/>
      <c r="P10" s="242"/>
      <c r="Q10" s="229"/>
      <c r="R10" s="225"/>
      <c r="S10" s="302" t="s">
        <v>234</v>
      </c>
      <c r="T10" s="142" t="s">
        <v>101</v>
      </c>
      <c r="U10" s="137"/>
      <c r="V10" s="137"/>
      <c r="W10" s="535" t="s">
        <v>265</v>
      </c>
      <c r="X10" s="536"/>
      <c r="Y10" s="137"/>
      <c r="Z10" s="208"/>
      <c r="AA10" s="129"/>
      <c r="AB10" s="129"/>
      <c r="AC10" s="225"/>
      <c r="AD10" s="248"/>
      <c r="AE10" s="143" t="s">
        <v>102</v>
      </c>
      <c r="AF10" s="129"/>
      <c r="AG10" s="149" t="s">
        <v>102</v>
      </c>
      <c r="AH10" s="249"/>
      <c r="AI10" s="57"/>
    </row>
    <row r="11" spans="1:35" ht="20.100000000000001" customHeight="1" thickBot="1">
      <c r="A11" s="57"/>
      <c r="B11" s="240"/>
      <c r="C11" s="201"/>
      <c r="D11" s="137"/>
      <c r="E11" s="197" t="s">
        <v>311</v>
      </c>
      <c r="F11" s="383" t="s">
        <v>327</v>
      </c>
      <c r="G11" s="137"/>
      <c r="H11" s="288" t="s">
        <v>185</v>
      </c>
      <c r="I11" s="289"/>
      <c r="J11" s="137"/>
      <c r="K11" s="240"/>
      <c r="L11" s="240"/>
      <c r="M11" s="186"/>
      <c r="N11" s="137"/>
      <c r="O11" s="186"/>
      <c r="P11" s="242"/>
      <c r="Q11" s="229"/>
      <c r="R11" s="225"/>
      <c r="S11" s="302" t="s">
        <v>165</v>
      </c>
      <c r="T11" s="143" t="s">
        <v>102</v>
      </c>
      <c r="U11" s="137"/>
      <c r="V11" s="137"/>
      <c r="W11" s="310" t="s">
        <v>127</v>
      </c>
      <c r="X11" s="343">
        <v>36526</v>
      </c>
      <c r="Y11" s="211"/>
      <c r="Z11" s="208"/>
      <c r="AA11" s="129"/>
      <c r="AB11" s="129"/>
      <c r="AC11" s="225"/>
      <c r="AD11" s="248"/>
      <c r="AE11" s="144">
        <v>1</v>
      </c>
      <c r="AF11" s="129"/>
      <c r="AG11" s="150">
        <v>1</v>
      </c>
      <c r="AH11" s="249"/>
      <c r="AI11" s="57"/>
    </row>
    <row r="12" spans="1:35" ht="20.100000000000001" customHeight="1" thickBot="1">
      <c r="A12" s="57"/>
      <c r="B12" s="240"/>
      <c r="C12" s="202"/>
      <c r="D12" s="137"/>
      <c r="E12" s="226"/>
      <c r="F12" s="226"/>
      <c r="G12" s="137"/>
      <c r="H12" s="295" t="s">
        <v>186</v>
      </c>
      <c r="I12" s="324" t="s">
        <v>117</v>
      </c>
      <c r="J12" s="137"/>
      <c r="K12" s="240"/>
      <c r="L12" s="240"/>
      <c r="M12" s="186"/>
      <c r="N12" s="137"/>
      <c r="O12" s="186"/>
      <c r="P12" s="242"/>
      <c r="Q12" s="229"/>
      <c r="R12" s="225"/>
      <c r="S12" s="302" t="s">
        <v>174</v>
      </c>
      <c r="T12" s="144">
        <v>1</v>
      </c>
      <c r="U12" s="137"/>
      <c r="V12" s="137"/>
      <c r="W12" s="302" t="s">
        <v>263</v>
      </c>
      <c r="X12" s="344">
        <v>39083</v>
      </c>
      <c r="Y12" s="134"/>
      <c r="Z12" s="208"/>
      <c r="AA12" s="129"/>
      <c r="AB12" s="129"/>
      <c r="AC12" s="225"/>
      <c r="AD12" s="248"/>
      <c r="AE12" s="142" t="s">
        <v>103</v>
      </c>
      <c r="AF12" s="129"/>
      <c r="AG12" s="148" t="s">
        <v>103</v>
      </c>
      <c r="AH12" s="249"/>
      <c r="AI12" s="57"/>
    </row>
    <row r="13" spans="1:35" ht="20.100000000000001" customHeight="1" thickBot="1">
      <c r="A13" s="57"/>
      <c r="B13" s="240"/>
      <c r="C13" s="129"/>
      <c r="D13" s="137"/>
      <c r="E13" s="282" t="s">
        <v>157</v>
      </c>
      <c r="F13" s="287"/>
      <c r="G13" s="137"/>
      <c r="H13" s="296" t="s">
        <v>187</v>
      </c>
      <c r="I13" s="327" t="s">
        <v>119</v>
      </c>
      <c r="J13" s="137"/>
      <c r="K13" s="240"/>
      <c r="L13" s="240"/>
      <c r="M13" s="186"/>
      <c r="N13" s="137"/>
      <c r="O13" s="186"/>
      <c r="P13" s="242"/>
      <c r="Q13" s="229"/>
      <c r="R13" s="225"/>
      <c r="S13" s="302" t="s">
        <v>235</v>
      </c>
      <c r="T13" s="142" t="s">
        <v>103</v>
      </c>
      <c r="U13" s="137"/>
      <c r="V13" s="137"/>
      <c r="W13" s="311" t="s">
        <v>266</v>
      </c>
      <c r="X13" s="341"/>
      <c r="Y13" s="211"/>
      <c r="Z13" s="208"/>
      <c r="AA13" s="129"/>
      <c r="AB13" s="129"/>
      <c r="AC13" s="225"/>
      <c r="AD13" s="248"/>
      <c r="AE13" s="336" t="s">
        <v>105</v>
      </c>
      <c r="AF13" s="129"/>
      <c r="AG13" s="173" t="s">
        <v>107</v>
      </c>
      <c r="AH13" s="249"/>
      <c r="AI13" s="57"/>
    </row>
    <row r="14" spans="1:35" ht="20.100000000000001" customHeight="1" thickTop="1" thickBot="1">
      <c r="A14" s="57"/>
      <c r="B14" s="240"/>
      <c r="C14" s="299" t="s">
        <v>145</v>
      </c>
      <c r="D14" s="137"/>
      <c r="E14" s="188" t="s">
        <v>158</v>
      </c>
      <c r="F14" s="279" t="s">
        <v>327</v>
      </c>
      <c r="G14" s="137"/>
      <c r="H14" s="296" t="s">
        <v>188</v>
      </c>
      <c r="I14" s="327" t="s">
        <v>125</v>
      </c>
      <c r="J14" s="137"/>
      <c r="K14" s="240"/>
      <c r="L14" s="240"/>
      <c r="M14" s="186"/>
      <c r="N14" s="137"/>
      <c r="O14" s="186"/>
      <c r="P14" s="242"/>
      <c r="Q14" s="229"/>
      <c r="R14" s="225"/>
      <c r="S14" s="302" t="s">
        <v>141</v>
      </c>
      <c r="T14" s="336" t="s">
        <v>105</v>
      </c>
      <c r="U14" s="137"/>
      <c r="V14" s="137"/>
      <c r="W14" s="298" t="s">
        <v>264</v>
      </c>
      <c r="X14" s="342" t="s">
        <v>204</v>
      </c>
      <c r="Y14" s="211"/>
      <c r="Z14" s="208"/>
      <c r="AA14" s="129"/>
      <c r="AB14" s="129"/>
      <c r="AC14" s="225"/>
      <c r="AD14" s="248"/>
      <c r="AE14" s="337" t="s">
        <v>115</v>
      </c>
      <c r="AF14" s="129"/>
      <c r="AG14" s="360" t="s">
        <v>116</v>
      </c>
      <c r="AH14" s="249"/>
      <c r="AI14" s="57"/>
    </row>
    <row r="15" spans="1:35" ht="20.100000000000001" customHeight="1" thickBot="1">
      <c r="A15" s="57"/>
      <c r="B15" s="240"/>
      <c r="C15" s="286" t="s">
        <v>146</v>
      </c>
      <c r="D15" s="137"/>
      <c r="E15" s="189" t="s">
        <v>159</v>
      </c>
      <c r="F15" s="218" t="s">
        <v>328</v>
      </c>
      <c r="G15" s="137"/>
      <c r="H15" s="297" t="s">
        <v>189</v>
      </c>
      <c r="I15" s="328" t="s">
        <v>136</v>
      </c>
      <c r="J15" s="137"/>
      <c r="K15" s="240"/>
      <c r="L15" s="240"/>
      <c r="M15" s="186"/>
      <c r="N15" s="137"/>
      <c r="O15" s="186"/>
      <c r="P15" s="242"/>
      <c r="Q15" s="229"/>
      <c r="R15" s="225"/>
      <c r="S15" s="302" t="s">
        <v>236</v>
      </c>
      <c r="T15" s="337" t="s">
        <v>115</v>
      </c>
      <c r="U15" s="137"/>
      <c r="V15" s="137"/>
      <c r="W15" s="137"/>
      <c r="X15" s="182"/>
      <c r="Y15" s="212"/>
      <c r="Z15" s="129"/>
      <c r="AA15" s="129"/>
      <c r="AB15" s="129"/>
      <c r="AC15" s="225"/>
      <c r="AD15" s="248"/>
      <c r="AE15" s="338" t="s">
        <v>135</v>
      </c>
      <c r="AF15" s="129"/>
      <c r="AG15" s="361" t="s">
        <v>135</v>
      </c>
      <c r="AH15" s="249"/>
      <c r="AI15" s="57"/>
    </row>
    <row r="16" spans="1:35" ht="20.100000000000001" customHeight="1" thickBot="1">
      <c r="A16" s="57"/>
      <c r="B16" s="240"/>
      <c r="C16" s="193">
        <v>43052</v>
      </c>
      <c r="D16" s="137"/>
      <c r="E16" s="189" t="s">
        <v>160</v>
      </c>
      <c r="F16" s="218" t="s">
        <v>328</v>
      </c>
      <c r="G16" s="137"/>
      <c r="H16" s="137"/>
      <c r="I16" s="137"/>
      <c r="J16" s="137"/>
      <c r="K16" s="240"/>
      <c r="L16" s="240"/>
      <c r="M16" s="186"/>
      <c r="N16" s="137"/>
      <c r="O16" s="186"/>
      <c r="P16" s="242"/>
      <c r="Q16" s="229"/>
      <c r="R16" s="225"/>
      <c r="S16" s="298" t="s">
        <v>237</v>
      </c>
      <c r="T16" s="338" t="s">
        <v>310</v>
      </c>
      <c r="U16" s="137"/>
      <c r="V16" s="137"/>
      <c r="W16" s="535" t="s">
        <v>267</v>
      </c>
      <c r="X16" s="536"/>
      <c r="Y16" s="203"/>
      <c r="Z16" s="129"/>
      <c r="AA16" s="129"/>
      <c r="AB16" s="129"/>
      <c r="AC16" s="225"/>
      <c r="AD16" s="248"/>
      <c r="AE16" s="129"/>
      <c r="AF16" s="129"/>
      <c r="AG16" s="128"/>
      <c r="AH16" s="249"/>
      <c r="AI16" s="57"/>
    </row>
    <row r="17" spans="1:35" ht="20.100000000000001" customHeight="1" thickBot="1">
      <c r="A17" s="57"/>
      <c r="B17" s="240"/>
      <c r="C17" s="227"/>
      <c r="D17" s="137"/>
      <c r="E17" s="189" t="s">
        <v>161</v>
      </c>
      <c r="F17" s="218" t="s">
        <v>328</v>
      </c>
      <c r="G17" s="137"/>
      <c r="H17" s="535" t="s">
        <v>190</v>
      </c>
      <c r="I17" s="536"/>
      <c r="J17" s="137"/>
      <c r="K17" s="240"/>
      <c r="L17" s="240"/>
      <c r="M17" s="186"/>
      <c r="N17" s="137"/>
      <c r="O17" s="186"/>
      <c r="P17" s="242"/>
      <c r="Q17" s="229"/>
      <c r="R17" s="225"/>
      <c r="S17" s="137"/>
      <c r="T17" s="137"/>
      <c r="U17" s="137"/>
      <c r="V17" s="137"/>
      <c r="W17" s="310" t="s">
        <v>266</v>
      </c>
      <c r="X17" s="152">
        <v>36526</v>
      </c>
      <c r="Y17" s="213"/>
      <c r="Z17" s="129"/>
      <c r="AA17" s="129"/>
      <c r="AB17" s="129"/>
      <c r="AC17" s="225"/>
      <c r="AD17" s="248"/>
      <c r="AE17" s="346">
        <v>39173.375</v>
      </c>
      <c r="AF17" s="129"/>
      <c r="AG17" s="124">
        <v>39173.375</v>
      </c>
      <c r="AH17" s="249"/>
      <c r="AI17" s="57"/>
    </row>
    <row r="18" spans="1:35" ht="20.100000000000001" customHeight="1" thickBot="1">
      <c r="A18" s="57"/>
      <c r="B18" s="240"/>
      <c r="C18" s="286" t="s">
        <v>147</v>
      </c>
      <c r="D18" s="137"/>
      <c r="E18" s="189" t="s">
        <v>162</v>
      </c>
      <c r="F18" s="218" t="s">
        <v>328</v>
      </c>
      <c r="G18" s="137"/>
      <c r="H18" s="282" t="s">
        <v>191</v>
      </c>
      <c r="I18" s="287"/>
      <c r="J18" s="137"/>
      <c r="K18" s="240"/>
      <c r="L18" s="240"/>
      <c r="M18" s="186"/>
      <c r="N18" s="137"/>
      <c r="O18" s="186"/>
      <c r="P18" s="242"/>
      <c r="Q18" s="229"/>
      <c r="R18" s="225"/>
      <c r="S18" s="535" t="s">
        <v>238</v>
      </c>
      <c r="T18" s="536"/>
      <c r="U18" s="137"/>
      <c r="V18" s="137"/>
      <c r="W18" s="302" t="s">
        <v>268</v>
      </c>
      <c r="X18" s="135" t="s">
        <v>108</v>
      </c>
      <c r="Y18" s="137"/>
      <c r="Z18" s="129"/>
      <c r="AA18" s="129"/>
      <c r="AB18" s="129"/>
      <c r="AC18" s="225"/>
      <c r="AD18" s="248"/>
      <c r="AE18" s="347">
        <v>1</v>
      </c>
      <c r="AF18" s="129"/>
      <c r="AG18" s="125">
        <v>1</v>
      </c>
      <c r="AH18" s="249"/>
      <c r="AI18" s="57"/>
    </row>
    <row r="19" spans="1:35" ht="20.100000000000001" customHeight="1" thickBot="1">
      <c r="A19" s="57"/>
      <c r="B19" s="240"/>
      <c r="C19" s="194">
        <v>130</v>
      </c>
      <c r="D19" s="137"/>
      <c r="E19" s="192" t="s">
        <v>163</v>
      </c>
      <c r="F19" s="219" t="s">
        <v>328</v>
      </c>
      <c r="G19" s="137"/>
      <c r="H19" s="292" t="s">
        <v>192</v>
      </c>
      <c r="I19" s="324" t="s">
        <v>122</v>
      </c>
      <c r="J19" s="137"/>
      <c r="K19" s="240"/>
      <c r="L19" s="240"/>
      <c r="M19" s="186"/>
      <c r="N19" s="137"/>
      <c r="O19" s="186"/>
      <c r="P19" s="242"/>
      <c r="Q19" s="229"/>
      <c r="R19" s="225"/>
      <c r="S19" s="282" t="s">
        <v>239</v>
      </c>
      <c r="T19" s="287"/>
      <c r="U19" s="137"/>
      <c r="V19" s="137"/>
      <c r="W19" s="302" t="s">
        <v>269</v>
      </c>
      <c r="X19" s="136" t="s">
        <v>109</v>
      </c>
      <c r="Y19" s="129"/>
      <c r="Z19" s="129"/>
      <c r="AA19" s="129"/>
      <c r="AB19" s="129"/>
      <c r="AC19" s="225"/>
      <c r="AD19" s="248"/>
      <c r="AE19" s="348">
        <v>39173.375</v>
      </c>
      <c r="AF19" s="129"/>
      <c r="AG19" s="130">
        <v>39173.375</v>
      </c>
      <c r="AH19" s="249"/>
      <c r="AI19" s="57"/>
    </row>
    <row r="20" spans="1:35" ht="19.5" customHeight="1" thickBot="1">
      <c r="A20" s="57"/>
      <c r="B20" s="240"/>
      <c r="C20" s="227"/>
      <c r="D20" s="137"/>
      <c r="E20" s="137"/>
      <c r="F20" s="137"/>
      <c r="G20" s="137"/>
      <c r="H20" s="293" t="s">
        <v>193</v>
      </c>
      <c r="I20" s="325" t="s">
        <v>123</v>
      </c>
      <c r="J20" s="137"/>
      <c r="K20" s="240"/>
      <c r="L20" s="240"/>
      <c r="M20" s="186"/>
      <c r="N20" s="137"/>
      <c r="O20" s="186"/>
      <c r="P20" s="242"/>
      <c r="Q20" s="230"/>
      <c r="R20" s="225"/>
      <c r="S20" s="302" t="s">
        <v>240</v>
      </c>
      <c r="T20" s="346">
        <v>36617.375</v>
      </c>
      <c r="U20" s="137"/>
      <c r="V20" s="137"/>
      <c r="W20" s="302" t="s">
        <v>270</v>
      </c>
      <c r="X20" s="153" t="s">
        <v>57</v>
      </c>
      <c r="Y20" s="129"/>
      <c r="Z20" s="129"/>
      <c r="AA20" s="129"/>
      <c r="AB20" s="129"/>
      <c r="AC20" s="225"/>
      <c r="AD20" s="248"/>
      <c r="AE20" s="349">
        <v>1</v>
      </c>
      <c r="AF20" s="129"/>
      <c r="AG20" s="131">
        <v>1</v>
      </c>
      <c r="AH20" s="249"/>
      <c r="AI20" s="57"/>
    </row>
    <row r="21" spans="1:35" ht="20.100000000000001" customHeight="1" thickBot="1">
      <c r="A21" s="57"/>
      <c r="B21" s="240"/>
      <c r="C21" s="286" t="s">
        <v>148</v>
      </c>
      <c r="D21" s="137"/>
      <c r="E21" s="226"/>
      <c r="F21" s="226"/>
      <c r="G21" s="137"/>
      <c r="H21" s="294" t="s">
        <v>194</v>
      </c>
      <c r="I21" s="326" t="s">
        <v>124</v>
      </c>
      <c r="J21" s="137"/>
      <c r="K21" s="240"/>
      <c r="L21" s="240"/>
      <c r="M21" s="186"/>
      <c r="N21" s="137"/>
      <c r="O21" s="186"/>
      <c r="P21" s="242"/>
      <c r="Q21" s="229"/>
      <c r="R21" s="225"/>
      <c r="S21" s="306" t="s">
        <v>241</v>
      </c>
      <c r="T21" s="347">
        <v>1</v>
      </c>
      <c r="U21" s="137"/>
      <c r="V21" s="137"/>
      <c r="W21" s="302" t="s">
        <v>271</v>
      </c>
      <c r="X21" s="278" t="s">
        <v>56</v>
      </c>
      <c r="Y21" s="129"/>
      <c r="Z21" s="129"/>
      <c r="AA21" s="129"/>
      <c r="AB21" s="129"/>
      <c r="AC21" s="225"/>
      <c r="AD21" s="248"/>
      <c r="AE21" s="350">
        <v>1</v>
      </c>
      <c r="AF21" s="129"/>
      <c r="AG21" s="132">
        <v>1</v>
      </c>
      <c r="AH21" s="249"/>
      <c r="AI21" s="57"/>
    </row>
    <row r="22" spans="1:35" ht="20.100000000000001" customHeight="1" thickBot="1">
      <c r="A22" s="57"/>
      <c r="B22" s="240"/>
      <c r="C22" s="195" t="s">
        <v>308</v>
      </c>
      <c r="D22" s="137"/>
      <c r="E22" s="282" t="s">
        <v>164</v>
      </c>
      <c r="F22" s="287"/>
      <c r="G22" s="137"/>
      <c r="H22" s="282" t="s">
        <v>195</v>
      </c>
      <c r="I22" s="287"/>
      <c r="J22" s="137"/>
      <c r="K22" s="240"/>
      <c r="L22" s="240"/>
      <c r="M22" s="186"/>
      <c r="N22" s="137"/>
      <c r="O22" s="186"/>
      <c r="P22" s="242"/>
      <c r="Q22" s="229"/>
      <c r="R22" s="225"/>
      <c r="S22" s="303" t="s">
        <v>242</v>
      </c>
      <c r="T22" s="348">
        <v>36617.375</v>
      </c>
      <c r="U22" s="137"/>
      <c r="V22" s="137"/>
      <c r="W22" s="311" t="s">
        <v>127</v>
      </c>
      <c r="X22" s="341"/>
      <c r="Y22" s="129"/>
      <c r="AB22" s="129"/>
      <c r="AC22" s="225"/>
      <c r="AD22" s="248"/>
      <c r="AE22" s="351">
        <v>39173.375</v>
      </c>
      <c r="AF22" s="129"/>
      <c r="AG22" s="126">
        <v>39173.375</v>
      </c>
      <c r="AH22" s="249"/>
      <c r="AI22" s="57"/>
    </row>
    <row r="23" spans="1:35" ht="20.100000000000001" customHeight="1" thickTop="1" thickBot="1">
      <c r="A23" s="57"/>
      <c r="B23" s="240"/>
      <c r="C23" s="227"/>
      <c r="D23" s="137"/>
      <c r="E23" s="188" t="s">
        <v>138</v>
      </c>
      <c r="F23" s="215" t="s">
        <v>328</v>
      </c>
      <c r="G23" s="137"/>
      <c r="H23" s="292" t="s">
        <v>192</v>
      </c>
      <c r="I23" s="324" t="s">
        <v>58</v>
      </c>
      <c r="J23" s="137"/>
      <c r="K23" s="240"/>
      <c r="L23" s="240"/>
      <c r="M23" s="187"/>
      <c r="N23" s="137"/>
      <c r="O23" s="187"/>
      <c r="P23" s="242"/>
      <c r="Q23" s="229"/>
      <c r="R23" s="225"/>
      <c r="S23" s="303" t="s">
        <v>243</v>
      </c>
      <c r="T23" s="349">
        <v>1</v>
      </c>
      <c r="U23" s="137"/>
      <c r="V23" s="137"/>
      <c r="W23" s="298" t="s">
        <v>264</v>
      </c>
      <c r="X23" s="345" t="s">
        <v>204</v>
      </c>
      <c r="Y23" s="129"/>
      <c r="Z23" s="535" t="s">
        <v>283</v>
      </c>
      <c r="AA23" s="536"/>
      <c r="AB23" s="129"/>
      <c r="AC23" s="225"/>
      <c r="AD23" s="248"/>
      <c r="AE23" s="352">
        <v>1</v>
      </c>
      <c r="AF23" s="129"/>
      <c r="AG23" s="127">
        <v>1</v>
      </c>
      <c r="AH23" s="249"/>
      <c r="AI23" s="57"/>
    </row>
    <row r="24" spans="1:35" ht="20.100000000000001" customHeight="1" thickBot="1">
      <c r="A24" s="57"/>
      <c r="B24" s="240"/>
      <c r="C24" s="286" t="s">
        <v>149</v>
      </c>
      <c r="D24" s="137"/>
      <c r="E24" s="189" t="s">
        <v>139</v>
      </c>
      <c r="F24" s="218" t="s">
        <v>328</v>
      </c>
      <c r="G24" s="137"/>
      <c r="H24" s="320" t="s">
        <v>199</v>
      </c>
      <c r="I24" s="325" t="s">
        <v>59</v>
      </c>
      <c r="J24" s="137"/>
      <c r="K24" s="240"/>
      <c r="L24" s="240"/>
      <c r="M24" s="137"/>
      <c r="N24" s="137"/>
      <c r="O24" s="137"/>
      <c r="P24" s="242"/>
      <c r="Q24" s="229"/>
      <c r="R24" s="225"/>
      <c r="S24" s="307" t="s">
        <v>244</v>
      </c>
      <c r="T24" s="350">
        <v>1</v>
      </c>
      <c r="U24" s="137"/>
      <c r="V24" s="137"/>
      <c r="W24" s="214"/>
      <c r="X24" s="137"/>
      <c r="Y24" s="137"/>
      <c r="Z24" s="282" t="s">
        <v>284</v>
      </c>
      <c r="AA24" s="287"/>
      <c r="AB24" s="129"/>
      <c r="AC24" s="225"/>
      <c r="AD24" s="248"/>
      <c r="AE24" s="353">
        <v>39173.375</v>
      </c>
      <c r="AF24" s="129"/>
      <c r="AG24" s="133">
        <v>39173.375</v>
      </c>
      <c r="AH24" s="249"/>
      <c r="AI24" s="57"/>
    </row>
    <row r="25" spans="1:35" ht="20.100000000000001" customHeight="1" thickTop="1" thickBot="1">
      <c r="A25" s="57"/>
      <c r="B25" s="240"/>
      <c r="C25" s="196"/>
      <c r="D25" s="137"/>
      <c r="E25" s="189" t="s">
        <v>140</v>
      </c>
      <c r="F25" s="218" t="s">
        <v>328</v>
      </c>
      <c r="G25" s="137"/>
      <c r="H25" s="321" t="s">
        <v>200</v>
      </c>
      <c r="I25" s="326" t="s">
        <v>121</v>
      </c>
      <c r="J25" s="137"/>
      <c r="K25" s="240"/>
      <c r="L25" s="231"/>
      <c r="M25" s="232" t="s">
        <v>228</v>
      </c>
      <c r="N25" s="233"/>
      <c r="O25" s="234"/>
      <c r="P25" s="235"/>
      <c r="Q25" s="229"/>
      <c r="R25" s="225"/>
      <c r="S25" s="308" t="s">
        <v>245</v>
      </c>
      <c r="T25" s="374">
        <v>36617.375</v>
      </c>
      <c r="U25" s="137"/>
      <c r="V25" s="137"/>
      <c r="W25" s="535" t="s">
        <v>272</v>
      </c>
      <c r="X25" s="536"/>
      <c r="Y25" s="137"/>
      <c r="Z25" s="302" t="s">
        <v>285</v>
      </c>
      <c r="AA25" s="355" t="s">
        <v>97</v>
      </c>
      <c r="AB25" s="129"/>
      <c r="AC25" s="225"/>
      <c r="AD25" s="248"/>
      <c r="AE25" s="349">
        <v>1</v>
      </c>
      <c r="AF25" s="129"/>
      <c r="AG25" s="131">
        <v>1</v>
      </c>
      <c r="AH25" s="249"/>
      <c r="AI25" s="57"/>
    </row>
    <row r="26" spans="1:35" s="92" customFormat="1" ht="20.100000000000001" customHeight="1" thickTop="1" thickBot="1">
      <c r="A26" s="223"/>
      <c r="B26" s="240"/>
      <c r="C26" s="227"/>
      <c r="D26" s="137"/>
      <c r="E26" s="190" t="s">
        <v>165</v>
      </c>
      <c r="F26" s="220" t="s">
        <v>328</v>
      </c>
      <c r="G26" s="137"/>
      <c r="H26" s="137"/>
      <c r="I26" s="137"/>
      <c r="J26" s="137"/>
      <c r="K26" s="240"/>
      <c r="L26" s="236"/>
      <c r="M26" s="238"/>
      <c r="N26" s="238"/>
      <c r="O26" s="238"/>
      <c r="P26" s="239"/>
      <c r="Q26" s="230"/>
      <c r="R26" s="225"/>
      <c r="S26" s="306" t="s">
        <v>246</v>
      </c>
      <c r="T26" s="376">
        <v>1</v>
      </c>
      <c r="U26" s="137"/>
      <c r="V26" s="137"/>
      <c r="W26" s="310" t="s">
        <v>266</v>
      </c>
      <c r="X26" s="322">
        <v>36526</v>
      </c>
      <c r="Y26" s="137"/>
      <c r="Z26" s="302" t="s">
        <v>286</v>
      </c>
      <c r="AA26" s="355" t="s">
        <v>93</v>
      </c>
      <c r="AB26" s="137"/>
      <c r="AC26" s="225"/>
      <c r="AD26" s="246"/>
      <c r="AE26" s="350">
        <v>1</v>
      </c>
      <c r="AF26" s="129"/>
      <c r="AG26" s="132">
        <v>1</v>
      </c>
      <c r="AH26" s="247"/>
      <c r="AI26" s="223"/>
    </row>
    <row r="27" spans="1:35" s="92" customFormat="1" ht="20.100000000000001" customHeight="1" thickTop="1" thickBot="1">
      <c r="A27" s="223"/>
      <c r="B27" s="240"/>
      <c r="C27" s="137"/>
      <c r="D27" s="137"/>
      <c r="E27" s="191" t="s">
        <v>166</v>
      </c>
      <c r="F27" s="221" t="s">
        <v>328</v>
      </c>
      <c r="G27" s="137"/>
      <c r="H27" s="535" t="s">
        <v>196</v>
      </c>
      <c r="I27" s="536"/>
      <c r="J27" s="137"/>
      <c r="K27" s="240"/>
      <c r="L27" s="240"/>
      <c r="M27" s="299" t="s">
        <v>226</v>
      </c>
      <c r="N27" s="137"/>
      <c r="O27" s="299" t="s">
        <v>227</v>
      </c>
      <c r="P27" s="241"/>
      <c r="Q27" s="230"/>
      <c r="R27" s="225"/>
      <c r="S27" s="303" t="s">
        <v>247</v>
      </c>
      <c r="T27" s="375">
        <v>36617.375</v>
      </c>
      <c r="U27" s="137"/>
      <c r="V27" s="137"/>
      <c r="W27" s="302" t="s">
        <v>273</v>
      </c>
      <c r="X27" s="135" t="s">
        <v>111</v>
      </c>
      <c r="Y27" s="137"/>
      <c r="Z27" s="302" t="s">
        <v>287</v>
      </c>
      <c r="AA27" s="355"/>
      <c r="AB27" s="137"/>
      <c r="AC27" s="225"/>
      <c r="AD27" s="246"/>
      <c r="AE27" s="129"/>
      <c r="AF27" s="129"/>
      <c r="AG27" s="137"/>
      <c r="AH27" s="247"/>
      <c r="AI27" s="57"/>
    </row>
    <row r="28" spans="1:35" ht="20.100000000000001" customHeight="1" thickBot="1">
      <c r="A28" s="57"/>
      <c r="B28" s="240"/>
      <c r="C28" s="137"/>
      <c r="D28" s="137"/>
      <c r="E28" s="189" t="s">
        <v>167</v>
      </c>
      <c r="F28" s="218" t="s">
        <v>328</v>
      </c>
      <c r="G28" s="137"/>
      <c r="H28" s="282" t="s">
        <v>197</v>
      </c>
      <c r="I28" s="287"/>
      <c r="J28" s="137"/>
      <c r="K28" s="240"/>
      <c r="L28" s="240"/>
      <c r="M28" s="185"/>
      <c r="N28" s="137"/>
      <c r="O28" s="186">
        <v>43098</v>
      </c>
      <c r="P28" s="242"/>
      <c r="Q28" s="229"/>
      <c r="R28" s="225"/>
      <c r="S28" s="303" t="s">
        <v>243</v>
      </c>
      <c r="T28" s="349">
        <v>1</v>
      </c>
      <c r="U28" s="137"/>
      <c r="V28" s="137"/>
      <c r="W28" s="302" t="s">
        <v>274</v>
      </c>
      <c r="X28" s="136" t="s">
        <v>110</v>
      </c>
      <c r="Y28" s="137"/>
      <c r="Z28" s="305" t="s">
        <v>288</v>
      </c>
      <c r="AA28" s="356" t="s">
        <v>98</v>
      </c>
      <c r="AB28" s="129"/>
      <c r="AC28" s="225"/>
      <c r="AD28" s="248"/>
      <c r="AE28" s="159" t="s">
        <v>96</v>
      </c>
      <c r="AF28" s="137"/>
      <c r="AG28" s="166" t="s">
        <v>96</v>
      </c>
      <c r="AH28" s="249"/>
      <c r="AI28" s="57"/>
    </row>
    <row r="29" spans="1:35" ht="20.100000000000001" customHeight="1" thickBot="1">
      <c r="A29" s="57"/>
      <c r="B29" s="240"/>
      <c r="C29" s="129"/>
      <c r="D29" s="137"/>
      <c r="E29" s="190" t="s">
        <v>168</v>
      </c>
      <c r="F29" s="220" t="s">
        <v>328</v>
      </c>
      <c r="G29" s="137"/>
      <c r="H29" s="188" t="s">
        <v>214</v>
      </c>
      <c r="I29" s="329" t="s">
        <v>120</v>
      </c>
      <c r="J29" s="137"/>
      <c r="K29" s="240"/>
      <c r="L29" s="240"/>
      <c r="M29" s="186"/>
      <c r="N29" s="137"/>
      <c r="O29" s="186"/>
      <c r="P29" s="242"/>
      <c r="Q29" s="229"/>
      <c r="R29" s="225"/>
      <c r="S29" s="307" t="s">
        <v>244</v>
      </c>
      <c r="T29" s="350">
        <v>1</v>
      </c>
      <c r="U29" s="137"/>
      <c r="V29" s="137"/>
      <c r="W29" s="311" t="s">
        <v>127</v>
      </c>
      <c r="X29" s="341"/>
      <c r="Y29" s="137"/>
      <c r="Z29" s="129"/>
      <c r="AA29" s="129"/>
      <c r="AB29" s="129"/>
      <c r="AC29" s="225"/>
      <c r="AD29" s="248"/>
      <c r="AE29" s="160" t="s">
        <v>92</v>
      </c>
      <c r="AF29" s="137"/>
      <c r="AG29" s="167" t="s">
        <v>92</v>
      </c>
      <c r="AH29" s="249"/>
      <c r="AI29" s="57"/>
    </row>
    <row r="30" spans="1:35" ht="20.100000000000001" customHeight="1" thickTop="1" thickBot="1">
      <c r="A30" s="57"/>
      <c r="B30" s="240"/>
      <c r="C30" s="129"/>
      <c r="D30" s="137"/>
      <c r="E30" s="191" t="s">
        <v>169</v>
      </c>
      <c r="F30" s="221" t="s">
        <v>328</v>
      </c>
      <c r="G30" s="137"/>
      <c r="H30" s="189" t="s">
        <v>215</v>
      </c>
      <c r="I30" s="330" t="s">
        <v>201</v>
      </c>
      <c r="J30" s="137"/>
      <c r="K30" s="240"/>
      <c r="L30" s="240"/>
      <c r="M30" s="186"/>
      <c r="N30" s="137"/>
      <c r="O30" s="186"/>
      <c r="P30" s="242"/>
      <c r="Q30" s="229"/>
      <c r="R30" s="225"/>
      <c r="S30" s="309" t="s">
        <v>248</v>
      </c>
      <c r="T30" s="354" t="s">
        <v>203</v>
      </c>
      <c r="U30" s="137"/>
      <c r="V30" s="137"/>
      <c r="W30" s="298" t="s">
        <v>264</v>
      </c>
      <c r="X30" s="332" t="s">
        <v>204</v>
      </c>
      <c r="Y30" s="137"/>
      <c r="Z30" s="535" t="s">
        <v>289</v>
      </c>
      <c r="AA30" s="536"/>
      <c r="AB30" s="129"/>
      <c r="AC30" s="225"/>
      <c r="AD30" s="248"/>
      <c r="AE30" s="161" t="s">
        <v>94</v>
      </c>
      <c r="AF30" s="137"/>
      <c r="AG30" s="168" t="s">
        <v>94</v>
      </c>
      <c r="AH30" s="249"/>
      <c r="AI30" s="57"/>
    </row>
    <row r="31" spans="1:35" ht="20.100000000000001" customHeight="1" thickBot="1">
      <c r="A31" s="57"/>
      <c r="B31" s="240"/>
      <c r="C31" s="129"/>
      <c r="D31" s="137"/>
      <c r="E31" s="189" t="s">
        <v>170</v>
      </c>
      <c r="F31" s="218" t="s">
        <v>328</v>
      </c>
      <c r="G31" s="137"/>
      <c r="H31" s="189" t="s">
        <v>216</v>
      </c>
      <c r="I31" s="330" t="s">
        <v>201</v>
      </c>
      <c r="J31" s="137"/>
      <c r="K31" s="240"/>
      <c r="L31" s="240"/>
      <c r="M31" s="186"/>
      <c r="N31" s="137"/>
      <c r="O31" s="186"/>
      <c r="P31" s="242"/>
      <c r="Q31" s="229"/>
      <c r="R31" s="225"/>
      <c r="S31" s="137"/>
      <c r="T31" s="137"/>
      <c r="U31" s="137"/>
      <c r="V31" s="129"/>
      <c r="W31" s="137"/>
      <c r="X31" s="137"/>
      <c r="Y31" s="137"/>
      <c r="Z31" s="539"/>
      <c r="AA31" s="540"/>
      <c r="AB31" s="129"/>
      <c r="AC31" s="225"/>
      <c r="AD31" s="248"/>
      <c r="AE31" s="162" t="s">
        <v>91</v>
      </c>
      <c r="AF31" s="137"/>
      <c r="AG31" s="169" t="s">
        <v>91</v>
      </c>
      <c r="AH31" s="249"/>
      <c r="AI31" s="57"/>
    </row>
    <row r="32" spans="1:35" ht="20.100000000000001" customHeight="1" thickBot="1">
      <c r="A32" s="57"/>
      <c r="B32" s="240"/>
      <c r="C32" s="129"/>
      <c r="D32" s="137"/>
      <c r="E32" s="189" t="s">
        <v>171</v>
      </c>
      <c r="F32" s="218" t="s">
        <v>328</v>
      </c>
      <c r="G32" s="137"/>
      <c r="H32" s="189" t="s">
        <v>217</v>
      </c>
      <c r="I32" s="330" t="s">
        <v>201</v>
      </c>
      <c r="J32" s="137"/>
      <c r="K32" s="240"/>
      <c r="L32" s="240"/>
      <c r="M32" s="186"/>
      <c r="N32" s="137"/>
      <c r="O32" s="186"/>
      <c r="P32" s="242"/>
      <c r="Q32" s="229"/>
      <c r="R32" s="225"/>
      <c r="S32" s="535" t="s">
        <v>249</v>
      </c>
      <c r="T32" s="536"/>
      <c r="U32" s="129"/>
      <c r="V32" s="129"/>
      <c r="W32" s="535" t="s">
        <v>275</v>
      </c>
      <c r="X32" s="536"/>
      <c r="Y32" s="137"/>
      <c r="Z32" s="129"/>
      <c r="AA32" s="129"/>
      <c r="AB32" s="129"/>
      <c r="AC32" s="225"/>
      <c r="AD32" s="248"/>
      <c r="AE32" s="163" t="s">
        <v>112</v>
      </c>
      <c r="AF32" s="137"/>
      <c r="AG32" s="170" t="s">
        <v>112</v>
      </c>
      <c r="AH32" s="249"/>
      <c r="AI32" s="57"/>
    </row>
    <row r="33" spans="1:35" ht="20.100000000000001" customHeight="1">
      <c r="A33" s="57"/>
      <c r="B33" s="240"/>
      <c r="C33" s="129"/>
      <c r="D33" s="137"/>
      <c r="E33" s="189" t="s">
        <v>172</v>
      </c>
      <c r="F33" s="218" t="s">
        <v>328</v>
      </c>
      <c r="G33" s="137"/>
      <c r="H33" s="189" t="s">
        <v>218</v>
      </c>
      <c r="I33" s="330" t="s">
        <v>201</v>
      </c>
      <c r="J33" s="137"/>
      <c r="K33" s="240"/>
      <c r="L33" s="240"/>
      <c r="M33" s="186"/>
      <c r="N33" s="137"/>
      <c r="O33" s="186"/>
      <c r="P33" s="242"/>
      <c r="Q33" s="229"/>
      <c r="R33" s="225"/>
      <c r="S33" s="282" t="s">
        <v>250</v>
      </c>
      <c r="T33" s="287"/>
      <c r="U33" s="129"/>
      <c r="V33" s="129"/>
      <c r="W33" s="282" t="s">
        <v>276</v>
      </c>
      <c r="X33" s="287"/>
      <c r="Y33" s="137"/>
      <c r="Z33" s="129"/>
      <c r="AA33" s="129"/>
      <c r="AB33" s="129"/>
      <c r="AC33" s="225"/>
      <c r="AD33" s="248"/>
      <c r="AE33" s="164" t="s">
        <v>113</v>
      </c>
      <c r="AF33" s="129"/>
      <c r="AG33" s="171" t="s">
        <v>114</v>
      </c>
      <c r="AH33" s="249"/>
      <c r="AI33" s="57"/>
    </row>
    <row r="34" spans="1:35" ht="20.100000000000001" customHeight="1" thickBot="1">
      <c r="A34" s="57"/>
      <c r="B34" s="240"/>
      <c r="C34" s="129"/>
      <c r="D34" s="137"/>
      <c r="E34" s="190" t="s">
        <v>173</v>
      </c>
      <c r="F34" s="220" t="s">
        <v>328</v>
      </c>
      <c r="G34" s="137"/>
      <c r="H34" s="189" t="s">
        <v>219</v>
      </c>
      <c r="I34" s="330" t="s">
        <v>201</v>
      </c>
      <c r="J34" s="137"/>
      <c r="K34" s="240"/>
      <c r="L34" s="240"/>
      <c r="M34" s="186"/>
      <c r="N34" s="137"/>
      <c r="O34" s="186"/>
      <c r="P34" s="242"/>
      <c r="Q34" s="229"/>
      <c r="R34" s="225"/>
      <c r="S34" s="302" t="s">
        <v>251</v>
      </c>
      <c r="T34" s="159" t="s">
        <v>96</v>
      </c>
      <c r="U34" s="129"/>
      <c r="V34" s="214"/>
      <c r="W34" s="302" t="s">
        <v>277</v>
      </c>
      <c r="X34" s="358">
        <v>9</v>
      </c>
      <c r="Y34" s="137"/>
      <c r="Z34" s="535" t="s">
        <v>290</v>
      </c>
      <c r="AA34" s="536"/>
      <c r="AB34" s="129"/>
      <c r="AC34" s="225"/>
      <c r="AD34" s="248"/>
      <c r="AE34" s="165" t="s">
        <v>95</v>
      </c>
      <c r="AF34" s="129"/>
      <c r="AG34" s="172" t="s">
        <v>95</v>
      </c>
      <c r="AH34" s="249"/>
      <c r="AI34" s="57"/>
    </row>
    <row r="35" spans="1:35" ht="20.100000000000001" customHeight="1" thickBot="1">
      <c r="A35" s="57"/>
      <c r="B35" s="240"/>
      <c r="C35" s="129"/>
      <c r="D35" s="137"/>
      <c r="E35" s="191" t="s">
        <v>174</v>
      </c>
      <c r="F35" s="221" t="s">
        <v>328</v>
      </c>
      <c r="G35" s="137"/>
      <c r="H35" s="189" t="s">
        <v>220</v>
      </c>
      <c r="I35" s="330" t="s">
        <v>202</v>
      </c>
      <c r="J35" s="137"/>
      <c r="K35" s="240"/>
      <c r="L35" s="240"/>
      <c r="M35" s="186"/>
      <c r="N35" s="137"/>
      <c r="O35" s="186"/>
      <c r="P35" s="242"/>
      <c r="Q35" s="229"/>
      <c r="R35" s="225"/>
      <c r="S35" s="302" t="s">
        <v>252</v>
      </c>
      <c r="T35" s="160" t="s">
        <v>92</v>
      </c>
      <c r="U35" s="129"/>
      <c r="V35" s="137"/>
      <c r="W35" s="303" t="s">
        <v>278</v>
      </c>
      <c r="X35" s="358">
        <v>18</v>
      </c>
      <c r="Y35" s="137"/>
      <c r="Z35" s="301" t="s">
        <v>291</v>
      </c>
      <c r="AA35" s="266" t="s">
        <v>129</v>
      </c>
      <c r="AB35" s="129"/>
      <c r="AC35" s="225"/>
      <c r="AD35" s="248"/>
      <c r="AE35" s="129"/>
      <c r="AF35" s="129"/>
      <c r="AG35" s="129"/>
      <c r="AH35" s="249"/>
      <c r="AI35" s="57"/>
    </row>
    <row r="36" spans="1:35" ht="20.100000000000001" customHeight="1" thickBot="1">
      <c r="A36" s="57"/>
      <c r="B36" s="240"/>
      <c r="C36" s="129"/>
      <c r="D36" s="137"/>
      <c r="E36" s="189" t="s">
        <v>175</v>
      </c>
      <c r="F36" s="218" t="s">
        <v>328</v>
      </c>
      <c r="G36" s="137"/>
      <c r="H36" s="192" t="s">
        <v>221</v>
      </c>
      <c r="I36" s="331" t="s">
        <v>202</v>
      </c>
      <c r="J36" s="137"/>
      <c r="K36" s="240"/>
      <c r="L36" s="240"/>
      <c r="M36" s="186"/>
      <c r="N36" s="137"/>
      <c r="O36" s="186"/>
      <c r="P36" s="242"/>
      <c r="Q36" s="229"/>
      <c r="R36" s="225"/>
      <c r="S36" s="302" t="s">
        <v>252</v>
      </c>
      <c r="T36" s="161" t="s">
        <v>94</v>
      </c>
      <c r="U36" s="122">
        <v>5</v>
      </c>
      <c r="V36" s="137"/>
      <c r="W36" s="303" t="s">
        <v>279</v>
      </c>
      <c r="X36" s="358">
        <v>9</v>
      </c>
      <c r="Y36" s="137"/>
      <c r="Z36" s="547" t="s">
        <v>130</v>
      </c>
      <c r="AA36" s="548"/>
      <c r="AB36" s="129"/>
      <c r="AC36" s="225"/>
      <c r="AD36" s="248"/>
      <c r="AE36" s="339">
        <v>39083</v>
      </c>
      <c r="AF36" s="129"/>
      <c r="AG36" s="183">
        <v>39083</v>
      </c>
      <c r="AH36" s="249"/>
      <c r="AI36" s="57"/>
    </row>
    <row r="37" spans="1:35" ht="20.100000000000001" customHeight="1" thickBot="1">
      <c r="A37" s="57"/>
      <c r="B37" s="240"/>
      <c r="C37" s="129"/>
      <c r="D37" s="137"/>
      <c r="E37" s="189" t="s">
        <v>176</v>
      </c>
      <c r="F37" s="218" t="s">
        <v>328</v>
      </c>
      <c r="G37" s="137"/>
      <c r="H37" s="137"/>
      <c r="I37" s="137"/>
      <c r="J37" s="137"/>
      <c r="K37" s="240"/>
      <c r="L37" s="240"/>
      <c r="M37" s="186"/>
      <c r="N37" s="137"/>
      <c r="O37" s="186"/>
      <c r="P37" s="242"/>
      <c r="Q37" s="230"/>
      <c r="R37" s="225"/>
      <c r="S37" s="302" t="s">
        <v>253</v>
      </c>
      <c r="T37" s="162" t="s">
        <v>91</v>
      </c>
      <c r="U37" s="137"/>
      <c r="V37" s="137"/>
      <c r="W37" s="303" t="s">
        <v>280</v>
      </c>
      <c r="X37" s="358">
        <v>21</v>
      </c>
      <c r="Y37" s="137"/>
      <c r="Z37" s="129"/>
      <c r="AA37" s="271"/>
      <c r="AB37" s="129"/>
      <c r="AC37" s="225"/>
      <c r="AD37" s="248"/>
      <c r="AE37" s="340">
        <v>39083</v>
      </c>
      <c r="AF37" s="129"/>
      <c r="AG37" s="184">
        <v>39083</v>
      </c>
      <c r="AH37" s="249"/>
      <c r="AI37" s="57"/>
    </row>
    <row r="38" spans="1:35" ht="20.100000000000001" customHeight="1" thickBot="1">
      <c r="A38" s="57"/>
      <c r="B38" s="240"/>
      <c r="C38" s="129"/>
      <c r="D38" s="137"/>
      <c r="E38" s="189" t="s">
        <v>141</v>
      </c>
      <c r="F38" s="218" t="s">
        <v>328</v>
      </c>
      <c r="G38" s="137"/>
      <c r="H38" s="535" t="s">
        <v>222</v>
      </c>
      <c r="I38" s="536"/>
      <c r="J38" s="137"/>
      <c r="K38" s="240"/>
      <c r="L38" s="240"/>
      <c r="M38" s="186"/>
      <c r="N38" s="137"/>
      <c r="O38" s="186"/>
      <c r="P38" s="242"/>
      <c r="Q38" s="229"/>
      <c r="R38" s="225"/>
      <c r="S38" s="302" t="s">
        <v>254</v>
      </c>
      <c r="T38" s="163" t="s">
        <v>112</v>
      </c>
      <c r="U38" s="137"/>
      <c r="V38" s="214"/>
      <c r="W38" s="303" t="s">
        <v>281</v>
      </c>
      <c r="X38" s="358">
        <v>12</v>
      </c>
      <c r="Y38" s="137"/>
      <c r="Z38" s="282" t="s">
        <v>292</v>
      </c>
      <c r="AA38" s="290"/>
      <c r="AB38" s="129"/>
      <c r="AC38" s="225"/>
      <c r="AD38" s="248"/>
      <c r="AE38" s="341"/>
      <c r="AF38" s="129"/>
      <c r="AG38" s="138"/>
      <c r="AH38" s="249"/>
      <c r="AI38" s="57"/>
    </row>
    <row r="39" spans="1:35" ht="20.100000000000001" customHeight="1" thickBot="1">
      <c r="A39" s="57"/>
      <c r="B39" s="240"/>
      <c r="C39" s="129"/>
      <c r="D39" s="137"/>
      <c r="E39" s="192" t="s">
        <v>177</v>
      </c>
      <c r="F39" s="219" t="s">
        <v>328</v>
      </c>
      <c r="G39" s="137"/>
      <c r="H39" s="282" t="s">
        <v>223</v>
      </c>
      <c r="I39" s="287"/>
      <c r="J39" s="137"/>
      <c r="K39" s="240"/>
      <c r="L39" s="240"/>
      <c r="M39" s="186"/>
      <c r="N39" s="137"/>
      <c r="O39" s="186"/>
      <c r="P39" s="242"/>
      <c r="Q39" s="229"/>
      <c r="R39" s="225"/>
      <c r="S39" s="302" t="s">
        <v>255</v>
      </c>
      <c r="T39" s="164" t="s">
        <v>113</v>
      </c>
      <c r="U39" s="137"/>
      <c r="V39" s="129"/>
      <c r="W39" s="303" t="s">
        <v>281</v>
      </c>
      <c r="X39" s="358"/>
      <c r="Y39" s="137"/>
      <c r="Z39" s="272"/>
      <c r="AA39" s="273"/>
      <c r="AB39" s="129"/>
      <c r="AC39" s="225"/>
      <c r="AD39" s="248"/>
      <c r="AE39" s="129"/>
      <c r="AF39" s="129"/>
      <c r="AG39" s="129"/>
      <c r="AH39" s="249"/>
      <c r="AI39" s="57"/>
    </row>
    <row r="40" spans="1:35" ht="20.100000000000001" customHeight="1" thickBot="1">
      <c r="A40" s="57"/>
      <c r="B40" s="240"/>
      <c r="C40" s="129"/>
      <c r="D40" s="137"/>
      <c r="E40" s="300" t="s">
        <v>178</v>
      </c>
      <c r="F40" s="219" t="s">
        <v>328</v>
      </c>
      <c r="G40" s="137"/>
      <c r="H40" s="298" t="s">
        <v>224</v>
      </c>
      <c r="I40" s="332" t="s">
        <v>118</v>
      </c>
      <c r="J40" s="137"/>
      <c r="K40" s="240"/>
      <c r="L40" s="240"/>
      <c r="M40" s="186"/>
      <c r="N40" s="137"/>
      <c r="O40" s="186"/>
      <c r="P40" s="242"/>
      <c r="Q40" s="229"/>
      <c r="R40" s="225"/>
      <c r="S40" s="305" t="s">
        <v>256</v>
      </c>
      <c r="T40" s="165" t="s">
        <v>95</v>
      </c>
      <c r="U40" s="122">
        <v>10</v>
      </c>
      <c r="V40" s="137"/>
      <c r="W40" s="304" t="s">
        <v>282</v>
      </c>
      <c r="X40" s="359"/>
      <c r="Y40" s="137"/>
      <c r="Z40" s="269" t="s">
        <v>293</v>
      </c>
      <c r="AA40" s="270"/>
      <c r="AB40" s="129"/>
      <c r="AC40" s="225"/>
      <c r="AD40" s="248"/>
      <c r="AE40" s="343">
        <v>39083</v>
      </c>
      <c r="AF40" s="129"/>
      <c r="AG40" s="157">
        <v>39083</v>
      </c>
      <c r="AH40" s="249"/>
      <c r="AI40" s="57"/>
    </row>
    <row r="41" spans="1:35" ht="20.100000000000001" customHeight="1" thickBot="1">
      <c r="A41" s="57"/>
      <c r="B41" s="243"/>
      <c r="C41" s="244"/>
      <c r="D41" s="245"/>
      <c r="E41" s="245"/>
      <c r="F41" s="245"/>
      <c r="G41" s="245"/>
      <c r="H41" s="245"/>
      <c r="I41" s="245"/>
      <c r="J41" s="245"/>
      <c r="K41" s="240"/>
      <c r="L41" s="240"/>
      <c r="M41" s="186"/>
      <c r="N41" s="137"/>
      <c r="O41" s="186"/>
      <c r="P41" s="242"/>
      <c r="Q41" s="229"/>
      <c r="R41" s="225"/>
      <c r="S41" s="137"/>
      <c r="T41" s="137"/>
      <c r="U41" s="129"/>
      <c r="V41" s="137"/>
      <c r="W41" s="137"/>
      <c r="X41" s="137"/>
      <c r="Y41" s="137"/>
      <c r="Z41" s="137"/>
      <c r="AA41" s="137"/>
      <c r="AB41" s="129"/>
      <c r="AC41" s="267"/>
      <c r="AD41" s="248"/>
      <c r="AE41" s="344">
        <v>39083</v>
      </c>
      <c r="AF41" s="129"/>
      <c r="AG41" s="158">
        <v>39083</v>
      </c>
      <c r="AH41" s="249"/>
      <c r="AI41" s="57"/>
    </row>
    <row r="42" spans="1:35" ht="20.100000000000001" customHeight="1" thickTop="1" thickBot="1">
      <c r="A42" s="57"/>
      <c r="B42" s="231"/>
      <c r="C42" s="232"/>
      <c r="D42" s="233"/>
      <c r="E42" s="233"/>
      <c r="F42" s="234"/>
      <c r="G42" s="233"/>
      <c r="H42" s="233"/>
      <c r="I42" s="234"/>
      <c r="J42" s="233"/>
      <c r="K42" s="240"/>
      <c r="L42" s="240"/>
      <c r="M42" s="186"/>
      <c r="N42" s="137"/>
      <c r="O42" s="186"/>
      <c r="P42" s="242"/>
      <c r="Q42" s="229"/>
      <c r="R42" s="225"/>
      <c r="S42" s="535" t="s">
        <v>257</v>
      </c>
      <c r="T42" s="536"/>
      <c r="U42" s="536"/>
      <c r="V42" s="137"/>
      <c r="W42" s="137"/>
      <c r="X42" s="137"/>
      <c r="Y42" s="137"/>
      <c r="Z42" s="535" t="s">
        <v>198</v>
      </c>
      <c r="AA42" s="536"/>
      <c r="AB42" s="276"/>
      <c r="AC42" s="230"/>
      <c r="AD42" s="248"/>
      <c r="AE42" s="341"/>
      <c r="AF42" s="129"/>
      <c r="AG42" s="138"/>
      <c r="AH42" s="249"/>
      <c r="AI42" s="57"/>
    </row>
    <row r="43" spans="1:35" ht="20.100000000000001" customHeight="1" thickTop="1" thickBot="1">
      <c r="L43" s="240"/>
      <c r="M43" s="186"/>
      <c r="N43" s="137"/>
      <c r="O43" s="186"/>
      <c r="P43" s="242"/>
      <c r="Q43" s="129"/>
      <c r="R43" s="225"/>
      <c r="S43" s="282" t="s">
        <v>258</v>
      </c>
      <c r="T43" s="283"/>
      <c r="U43" s="284"/>
      <c r="V43" s="137"/>
      <c r="W43" s="137"/>
      <c r="X43" s="137"/>
      <c r="Y43" s="137"/>
      <c r="Z43" s="291" t="s">
        <v>294</v>
      </c>
      <c r="AA43" s="380" t="s">
        <v>326</v>
      </c>
      <c r="AB43" s="276"/>
      <c r="AC43" s="229"/>
      <c r="AD43" s="248"/>
      <c r="AE43" s="129"/>
      <c r="AF43" s="129"/>
      <c r="AG43" s="129"/>
      <c r="AH43" s="249"/>
      <c r="AI43" s="57"/>
    </row>
    <row r="44" spans="1:35" ht="20.100000000000001" customHeight="1" thickBot="1">
      <c r="L44" s="240"/>
      <c r="M44" s="186"/>
      <c r="N44" s="137"/>
      <c r="O44" s="186"/>
      <c r="P44" s="242"/>
      <c r="Q44" s="129"/>
      <c r="R44" s="225"/>
      <c r="S44" s="357" t="s">
        <v>259</v>
      </c>
      <c r="T44" s="545" t="s">
        <v>134</v>
      </c>
      <c r="U44" s="546"/>
      <c r="V44" s="137"/>
      <c r="W44" s="137"/>
      <c r="X44" s="137"/>
      <c r="Y44" s="137"/>
      <c r="Z44" s="543" t="s">
        <v>137</v>
      </c>
      <c r="AA44" s="544"/>
      <c r="AB44" s="276"/>
      <c r="AC44" s="229"/>
      <c r="AD44" s="248"/>
      <c r="AE44" s="152">
        <v>39083</v>
      </c>
      <c r="AF44" s="129"/>
      <c r="AG44" s="154">
        <v>39083</v>
      </c>
      <c r="AH44" s="249"/>
      <c r="AI44" s="57"/>
    </row>
    <row r="45" spans="1:35" ht="20.100000000000001" customHeight="1" thickBot="1">
      <c r="C45" s="387" t="s">
        <v>315</v>
      </c>
      <c r="D45" s="388" t="s">
        <v>316</v>
      </c>
      <c r="E45" s="552" t="s">
        <v>317</v>
      </c>
      <c r="F45" s="553"/>
      <c r="G45" s="553"/>
      <c r="H45" s="554"/>
      <c r="I45" s="389" t="s">
        <v>328</v>
      </c>
      <c r="L45" s="240"/>
      <c r="M45" s="187"/>
      <c r="N45" s="137"/>
      <c r="O45" s="187"/>
      <c r="P45" s="242"/>
      <c r="Q45" s="129"/>
      <c r="R45" s="225"/>
      <c r="S45" s="304" t="s">
        <v>260</v>
      </c>
      <c r="T45" s="541" t="s">
        <v>133</v>
      </c>
      <c r="U45" s="542"/>
      <c r="V45" s="137"/>
      <c r="W45" s="137"/>
      <c r="X45" s="137"/>
      <c r="Y45" s="137"/>
      <c r="AB45" s="276"/>
      <c r="AC45" s="229"/>
      <c r="AD45" s="248"/>
      <c r="AE45" s="135" t="s">
        <v>108</v>
      </c>
      <c r="AF45" s="129"/>
      <c r="AG45" s="155" t="s">
        <v>108</v>
      </c>
      <c r="AH45" s="249"/>
      <c r="AI45" s="57"/>
    </row>
    <row r="46" spans="1:35" ht="20.100000000000001" customHeight="1" thickBot="1">
      <c r="C46" s="390">
        <v>42995</v>
      </c>
      <c r="D46" s="391" t="s">
        <v>132</v>
      </c>
      <c r="E46" s="555" t="s">
        <v>321</v>
      </c>
      <c r="F46" s="556"/>
      <c r="G46" s="556"/>
      <c r="H46" s="556"/>
      <c r="I46" s="557"/>
      <c r="L46" s="240"/>
      <c r="M46" s="137"/>
      <c r="N46" s="137"/>
      <c r="O46" s="137"/>
      <c r="P46" s="242"/>
      <c r="Q46" s="129"/>
      <c r="R46" s="225"/>
      <c r="S46" s="137"/>
      <c r="T46" s="137"/>
      <c r="U46" s="129"/>
      <c r="V46" s="137"/>
      <c r="W46" s="129"/>
      <c r="X46" s="129"/>
      <c r="Y46" s="129"/>
      <c r="Z46" s="129"/>
      <c r="AA46" s="129"/>
      <c r="AB46" s="276"/>
      <c r="AC46" s="229"/>
      <c r="AD46" s="248"/>
      <c r="AE46" s="136" t="s">
        <v>109</v>
      </c>
      <c r="AF46" s="129"/>
      <c r="AG46" s="141" t="s">
        <v>109</v>
      </c>
      <c r="AH46" s="249"/>
      <c r="AI46" s="57"/>
    </row>
    <row r="47" spans="1:35" ht="20.100000000000001" customHeight="1" thickTop="1" thickBot="1">
      <c r="C47" s="392">
        <v>43056</v>
      </c>
      <c r="D47" s="393" t="s">
        <v>320</v>
      </c>
      <c r="E47" s="558" t="s">
        <v>322</v>
      </c>
      <c r="F47" s="559"/>
      <c r="G47" s="559"/>
      <c r="H47" s="559"/>
      <c r="I47" s="560"/>
      <c r="L47" s="231"/>
      <c r="M47" s="234"/>
      <c r="N47" s="233"/>
      <c r="O47" s="234"/>
      <c r="P47" s="235"/>
      <c r="Q47" s="129"/>
      <c r="R47" s="224"/>
      <c r="S47" s="228"/>
      <c r="T47" s="222"/>
      <c r="U47" s="204"/>
      <c r="V47" s="204"/>
      <c r="W47" s="204"/>
      <c r="X47" s="222"/>
      <c r="Y47" s="204"/>
      <c r="Z47" s="222"/>
      <c r="AA47" s="222"/>
      <c r="AB47" s="277"/>
      <c r="AC47" s="229"/>
      <c r="AD47" s="248"/>
      <c r="AE47" s="153" t="s">
        <v>57</v>
      </c>
      <c r="AF47" s="129"/>
      <c r="AG47" s="156" t="s">
        <v>57</v>
      </c>
      <c r="AH47" s="249"/>
      <c r="AI47" s="57"/>
    </row>
    <row r="48" spans="1:35" ht="20.100000000000001" customHeight="1" thickTop="1" thickBot="1">
      <c r="C48" s="392">
        <v>43131</v>
      </c>
      <c r="D48" s="394" t="s">
        <v>319</v>
      </c>
      <c r="E48" s="558" t="s">
        <v>323</v>
      </c>
      <c r="F48" s="559"/>
      <c r="G48" s="559"/>
      <c r="H48" s="559"/>
      <c r="I48" s="560"/>
      <c r="Q48" s="137"/>
      <c r="V48" s="137"/>
      <c r="W48" s="129"/>
      <c r="X48" s="129"/>
      <c r="Y48" s="129"/>
      <c r="Z48" s="129"/>
      <c r="AA48" s="129"/>
      <c r="AB48" s="129"/>
      <c r="AC48" s="229"/>
      <c r="AD48" s="248"/>
      <c r="AE48" s="278" t="s">
        <v>56</v>
      </c>
      <c r="AF48" s="129"/>
      <c r="AG48" s="138"/>
      <c r="AH48" s="249"/>
      <c r="AI48" s="57"/>
    </row>
    <row r="49" spans="3:35" ht="20.100000000000001" customHeight="1" thickTop="1" thickBot="1">
      <c r="C49" s="392">
        <f>C48+28</f>
        <v>43159</v>
      </c>
      <c r="D49" s="395" t="s">
        <v>318</v>
      </c>
      <c r="E49" s="558" t="s">
        <v>324</v>
      </c>
      <c r="F49" s="559"/>
      <c r="G49" s="559"/>
      <c r="H49" s="559"/>
      <c r="I49" s="560"/>
      <c r="Q49" s="137"/>
      <c r="S49" s="137"/>
      <c r="T49" s="137"/>
      <c r="U49" s="137"/>
      <c r="V49" s="137"/>
      <c r="X49" s="137"/>
      <c r="Y49" s="137"/>
      <c r="Z49" s="129"/>
      <c r="AA49" s="129"/>
      <c r="AB49" s="129"/>
      <c r="AC49" s="229"/>
      <c r="AD49" s="248"/>
      <c r="AE49" s="129"/>
      <c r="AF49" s="129"/>
      <c r="AG49" s="129"/>
      <c r="AH49" s="249"/>
      <c r="AI49" s="57"/>
    </row>
    <row r="50" spans="3:35" ht="20.100000000000001" customHeight="1">
      <c r="C50" s="392"/>
      <c r="D50" s="396"/>
      <c r="E50" s="561"/>
      <c r="F50" s="562"/>
      <c r="G50" s="562"/>
      <c r="H50" s="562"/>
      <c r="I50" s="563"/>
      <c r="Q50" s="137"/>
      <c r="S50" s="137"/>
      <c r="T50" s="137"/>
      <c r="U50" s="137"/>
      <c r="V50" s="137"/>
      <c r="X50" s="129"/>
      <c r="Y50" s="129"/>
      <c r="Z50" s="129"/>
      <c r="AA50" s="129"/>
      <c r="AB50" s="129"/>
      <c r="AC50" s="229"/>
      <c r="AD50" s="248"/>
      <c r="AE50" s="322">
        <v>39083</v>
      </c>
      <c r="AF50" s="129"/>
      <c r="AG50" s="140">
        <v>39083</v>
      </c>
      <c r="AH50" s="249"/>
      <c r="AI50" s="57"/>
    </row>
    <row r="51" spans="3:35" ht="20.100000000000001" customHeight="1">
      <c r="C51" s="392"/>
      <c r="D51" s="396"/>
      <c r="E51" s="564"/>
      <c r="F51" s="565"/>
      <c r="G51" s="565"/>
      <c r="H51" s="565"/>
      <c r="I51" s="566"/>
      <c r="Q51" s="137"/>
      <c r="S51" s="137"/>
      <c r="T51" s="137"/>
      <c r="U51" s="137"/>
      <c r="V51" s="137"/>
      <c r="W51" s="129"/>
      <c r="X51" s="129"/>
      <c r="Y51" s="129"/>
      <c r="Z51" s="129"/>
      <c r="AA51" s="129"/>
      <c r="AB51" s="129"/>
      <c r="AC51" s="229"/>
      <c r="AD51" s="248"/>
      <c r="AE51" s="135" t="s">
        <v>111</v>
      </c>
      <c r="AF51" s="129"/>
      <c r="AG51" s="139" t="s">
        <v>111</v>
      </c>
      <c r="AH51" s="249"/>
      <c r="AI51" s="57"/>
    </row>
    <row r="52" spans="3:35" ht="20.100000000000001" customHeight="1">
      <c r="C52" s="392"/>
      <c r="D52" s="396"/>
      <c r="E52" s="564"/>
      <c r="F52" s="565"/>
      <c r="G52" s="565"/>
      <c r="H52" s="565"/>
      <c r="I52" s="566"/>
      <c r="Q52" s="137"/>
      <c r="S52" s="137"/>
      <c r="T52" s="137"/>
      <c r="U52" s="137"/>
      <c r="V52" s="137"/>
      <c r="X52" s="129"/>
      <c r="Y52" s="129"/>
      <c r="Z52" s="129"/>
      <c r="AA52" s="129"/>
      <c r="AB52" s="129"/>
      <c r="AC52" s="229"/>
      <c r="AD52" s="248"/>
      <c r="AE52" s="136" t="s">
        <v>110</v>
      </c>
      <c r="AF52" s="129"/>
      <c r="AG52" s="141" t="s">
        <v>111</v>
      </c>
      <c r="AH52" s="249"/>
      <c r="AI52" s="57"/>
    </row>
    <row r="53" spans="3:35" ht="20.100000000000001" customHeight="1" thickBot="1">
      <c r="C53" s="390"/>
      <c r="D53" s="396"/>
      <c r="E53" s="564"/>
      <c r="F53" s="565"/>
      <c r="G53" s="565"/>
      <c r="H53" s="565"/>
      <c r="I53" s="566"/>
      <c r="Q53" s="137"/>
      <c r="S53" s="137"/>
      <c r="T53" s="137"/>
      <c r="U53" s="137"/>
      <c r="V53" s="137"/>
      <c r="X53" s="129"/>
      <c r="Y53" s="129"/>
      <c r="Z53" s="129"/>
      <c r="AA53" s="129"/>
      <c r="AB53" s="129"/>
      <c r="AC53" s="229"/>
      <c r="AD53" s="248"/>
      <c r="AE53" s="341"/>
      <c r="AF53" s="129"/>
      <c r="AG53" s="138"/>
      <c r="AH53" s="249"/>
      <c r="AI53" s="57"/>
    </row>
    <row r="54" spans="3:35" ht="20.100000000000001" customHeight="1" thickTop="1" thickBot="1">
      <c r="C54" s="390"/>
      <c r="D54" s="396"/>
      <c r="E54" s="564"/>
      <c r="F54" s="565"/>
      <c r="G54" s="565"/>
      <c r="H54" s="565"/>
      <c r="I54" s="566"/>
      <c r="Q54" s="137"/>
      <c r="S54" s="137"/>
      <c r="T54" s="137"/>
      <c r="U54" s="137"/>
      <c r="V54" s="137"/>
      <c r="W54" s="129"/>
      <c r="X54" s="129"/>
      <c r="Y54" s="129"/>
      <c r="Z54" s="129"/>
      <c r="AA54" s="129"/>
      <c r="AB54" s="129"/>
      <c r="AC54" s="229"/>
      <c r="AD54" s="248"/>
      <c r="AE54" s="129"/>
      <c r="AF54" s="129"/>
      <c r="AG54" s="129"/>
      <c r="AH54" s="249"/>
      <c r="AI54" s="57"/>
    </row>
    <row r="55" spans="3:35" ht="20.100000000000001" customHeight="1" thickBot="1">
      <c r="C55" s="397"/>
      <c r="D55" s="398"/>
      <c r="E55" s="549"/>
      <c r="F55" s="550"/>
      <c r="G55" s="550"/>
      <c r="H55" s="550"/>
      <c r="I55" s="551"/>
      <c r="Q55" s="137"/>
      <c r="S55" s="137"/>
      <c r="T55" s="137"/>
      <c r="U55" s="137"/>
      <c r="V55" s="137"/>
      <c r="W55" s="129"/>
      <c r="X55" s="129"/>
      <c r="Y55" s="129"/>
      <c r="Z55" s="129"/>
      <c r="AA55" s="129"/>
      <c r="AB55" s="129"/>
      <c r="AC55" s="229"/>
      <c r="AD55" s="248"/>
      <c r="AE55" s="323"/>
      <c r="AF55" s="129"/>
      <c r="AG55" s="151" t="s">
        <v>325</v>
      </c>
      <c r="AH55" s="249"/>
      <c r="AI55" s="57"/>
    </row>
    <row r="56" spans="3:35" ht="20.100000000000001" customHeight="1">
      <c r="Q56" s="137"/>
      <c r="S56" s="137"/>
      <c r="T56" s="137"/>
      <c r="U56" s="137"/>
      <c r="V56" s="137"/>
      <c r="W56" s="129"/>
      <c r="X56" s="129"/>
      <c r="Y56" s="129"/>
      <c r="Z56" s="129"/>
      <c r="AA56" s="129"/>
      <c r="AB56" s="129"/>
      <c r="AC56" s="229"/>
      <c r="AD56" s="248"/>
      <c r="AE56" s="129"/>
      <c r="AF56" s="129"/>
      <c r="AG56" s="129"/>
      <c r="AH56" s="249"/>
      <c r="AI56" s="57"/>
    </row>
    <row r="57" spans="3:35" ht="20.100000000000001" customHeight="1" thickBot="1">
      <c r="Q57" s="137"/>
      <c r="S57" s="137"/>
      <c r="T57" s="137"/>
      <c r="U57" s="137"/>
      <c r="V57" s="137"/>
      <c r="W57" s="129"/>
      <c r="X57" s="129"/>
      <c r="Y57" s="129"/>
      <c r="Z57" s="129"/>
      <c r="AA57" s="129"/>
      <c r="AB57" s="129"/>
      <c r="AC57" s="229"/>
      <c r="AD57" s="263"/>
      <c r="AE57" s="264"/>
      <c r="AF57" s="264"/>
      <c r="AG57" s="264"/>
      <c r="AH57" s="265"/>
      <c r="AI57" s="57"/>
    </row>
    <row r="58" spans="3:35" ht="20.100000000000001" customHeight="1" thickTop="1" thickBot="1">
      <c r="Q58" s="137"/>
      <c r="S58" s="137"/>
      <c r="T58" s="137"/>
      <c r="U58" s="137"/>
      <c r="V58" s="137"/>
      <c r="W58" s="129"/>
      <c r="X58" s="129"/>
      <c r="Y58" s="129"/>
      <c r="Z58" s="129"/>
      <c r="AA58" s="129"/>
      <c r="AB58" s="129"/>
      <c r="AC58" s="129"/>
      <c r="AD58" s="255"/>
      <c r="AE58" s="256"/>
      <c r="AF58" s="257"/>
      <c r="AG58" s="256"/>
      <c r="AH58" s="258"/>
    </row>
    <row r="59" spans="3:35" ht="20.100000000000001" customHeight="1" thickTop="1">
      <c r="Q59" s="137"/>
      <c r="S59" s="137"/>
      <c r="T59" s="137"/>
      <c r="U59" s="137"/>
      <c r="V59" s="137"/>
      <c r="W59" s="129"/>
      <c r="X59" s="129"/>
      <c r="Y59" s="129"/>
      <c r="Z59" s="129"/>
      <c r="AA59" s="129"/>
      <c r="AB59" s="129"/>
      <c r="AC59" s="129"/>
    </row>
    <row r="60" spans="3:35" ht="20.100000000000001" customHeight="1">
      <c r="Q60" s="137"/>
      <c r="S60" s="137"/>
      <c r="T60" s="137"/>
      <c r="U60" s="137"/>
      <c r="V60" s="137"/>
      <c r="W60" s="129"/>
      <c r="AB60" s="129"/>
    </row>
    <row r="61" spans="3:35" ht="20.100000000000001" customHeight="1">
      <c r="S61" s="137"/>
      <c r="T61" s="137"/>
      <c r="U61" s="137"/>
      <c r="V61" s="137"/>
      <c r="W61" s="129"/>
      <c r="AB61" s="129"/>
    </row>
    <row r="62" spans="3:35" ht="20.100000000000001" customHeight="1">
      <c r="S62" s="137"/>
      <c r="T62" s="137"/>
      <c r="U62" s="137"/>
      <c r="V62" s="137"/>
      <c r="W62" s="129"/>
      <c r="AB62" s="129"/>
    </row>
    <row r="63" spans="3:35" ht="20.100000000000001" customHeight="1">
      <c r="S63" s="137"/>
      <c r="T63" s="137"/>
      <c r="U63" s="137"/>
      <c r="V63" s="137"/>
      <c r="W63" s="129"/>
      <c r="AB63" s="129"/>
    </row>
  </sheetData>
  <sheetProtection sheet="1" objects="1" scenarios="1" formatCells="0" selectLockedCells="1"/>
  <dataConsolidate/>
  <mergeCells count="36">
    <mergeCell ref="H4:I4"/>
    <mergeCell ref="E4:F4"/>
    <mergeCell ref="H17:I17"/>
    <mergeCell ref="H10:I10"/>
    <mergeCell ref="H38:I38"/>
    <mergeCell ref="H27:I27"/>
    <mergeCell ref="E55:I55"/>
    <mergeCell ref="E45:H45"/>
    <mergeCell ref="E46:I46"/>
    <mergeCell ref="E47:I47"/>
    <mergeCell ref="E48:I48"/>
    <mergeCell ref="E49:I49"/>
    <mergeCell ref="E50:I50"/>
    <mergeCell ref="E51:I51"/>
    <mergeCell ref="E52:I52"/>
    <mergeCell ref="E53:I53"/>
    <mergeCell ref="E54:I54"/>
    <mergeCell ref="Z34:AA34"/>
    <mergeCell ref="W32:X32"/>
    <mergeCell ref="S32:T32"/>
    <mergeCell ref="Z31:AA31"/>
    <mergeCell ref="T45:U45"/>
    <mergeCell ref="Z42:AA42"/>
    <mergeCell ref="Z44:AA44"/>
    <mergeCell ref="S42:U42"/>
    <mergeCell ref="T44:U44"/>
    <mergeCell ref="Z36:AA36"/>
    <mergeCell ref="Z30:AA30"/>
    <mergeCell ref="S4:T4"/>
    <mergeCell ref="W4:X4"/>
    <mergeCell ref="Z4:AA4"/>
    <mergeCell ref="W10:X10"/>
    <mergeCell ref="Z23:AA23"/>
    <mergeCell ref="W25:X25"/>
    <mergeCell ref="W16:X16"/>
    <mergeCell ref="S18:T18"/>
  </mergeCells>
  <phoneticPr fontId="5"/>
  <conditionalFormatting sqref="D46">
    <cfRule type="expression" dxfId="1" priority="1" stopIfTrue="1">
      <formula>$P$12="中止"</formula>
    </cfRule>
    <cfRule type="expression" dxfId="0" priority="2" stopIfTrue="1">
      <formula>$P$12="ﾘｽｹ"</formula>
    </cfRule>
  </conditionalFormatting>
  <dataValidations count="9">
    <dataValidation type="list" allowBlank="1" showInputMessage="1" showErrorMessage="1" sqref="Z7">
      <formula1>"0,1,2"</formula1>
    </dataValidation>
    <dataValidation type="list" allowBlank="1" showInputMessage="1" showErrorMessage="1" sqref="AA43 I12:I15 F6:F8 F10:F11 F14:F19 F23:F40 I40 I45">
      <formula1>"ON,OFF"</formula1>
    </dataValidation>
    <dataValidation type="list" allowBlank="1" showInputMessage="1" showErrorMessage="1" sqref="T30">
      <formula1>"自動,手動"</formula1>
    </dataValidation>
    <dataValidation type="list" allowBlank="1" showInputMessage="1" showErrorMessage="1" sqref="I7">
      <formula1>"上,重ねる,下"</formula1>
    </dataValidation>
    <dataValidation type="list" allowBlank="1" showInputMessage="1" showErrorMessage="1" sqref="I29:I36">
      <formula1>"休,出"</formula1>
    </dataValidation>
    <dataValidation type="list" allowBlank="1" showInputMessage="1" showErrorMessage="1" sqref="C22">
      <formula1>"月単位,週単位,日単位,日単位(時),時間単位"</formula1>
    </dataValidation>
    <dataValidation type="list" allowBlank="1" showInputMessage="1" showErrorMessage="1" sqref="I6">
      <formula1>"太い,細い,標準"</formula1>
    </dataValidation>
    <dataValidation type="list" allowBlank="1" showInputMessage="1" showErrorMessage="1" sqref="X8 X30 X23 X14">
      <formula1>"標準,x 1.5,x 2,x 3,x 4"</formula1>
    </dataValidation>
    <dataValidation type="list" allowBlank="1" showInputMessage="1" showErrorMessage="1" sqref="Z44:AA44">
      <formula1>"Japanese,English,Chinese"</formula1>
    </dataValidation>
  </dataValidations>
  <pageMargins left="0.75" right="0.75" top="1" bottom="1" header="0.51200000000000001" footer="0.51200000000000001"/>
  <pageSetup paperSize="9" orientation="portrait" r:id="rId1"/>
  <headerFooter alignWithMargins="0"/>
  <drawing r:id="rId2"/>
  <legacyDrawing r:id="rId3"/>
  <picture r:id="rId4"/>
  <controls>
    <mc:AlternateContent xmlns:mc="http://schemas.openxmlformats.org/markup-compatibility/2006">
      <mc:Choice Requires="x14">
        <control shapeId="3786" r:id="rId5" name="BTN_Config_AllDataDel">
          <controlPr defaultSize="0" autoLine="0" r:id="rId6">
            <anchor moveWithCells="1">
              <from>
                <xdr:col>2</xdr:col>
                <xdr:colOff>66675</xdr:colOff>
                <xdr:row>8</xdr:row>
                <xdr:rowOff>104775</xdr:rowOff>
              </from>
              <to>
                <xdr:col>2</xdr:col>
                <xdr:colOff>1362075</xdr:colOff>
                <xdr:row>9</xdr:row>
                <xdr:rowOff>180975</xdr:rowOff>
              </to>
            </anchor>
          </controlPr>
        </control>
      </mc:Choice>
      <mc:Fallback>
        <control shapeId="3786" r:id="rId5" name="BTN_Config_AllDataDel"/>
      </mc:Fallback>
    </mc:AlternateContent>
    <mc:AlternateContent xmlns:mc="http://schemas.openxmlformats.org/markup-compatibility/2006">
      <mc:Choice Requires="x14">
        <control shapeId="3608" r:id="rId7" name="BTN_Config_Repair">
          <controlPr defaultSize="0" autoLine="0" r:id="rId8">
            <anchor moveWithCells="1">
              <from>
                <xdr:col>2</xdr:col>
                <xdr:colOff>66675</xdr:colOff>
                <xdr:row>9</xdr:row>
                <xdr:rowOff>228600</xdr:rowOff>
              </from>
              <to>
                <xdr:col>2</xdr:col>
                <xdr:colOff>1362075</xdr:colOff>
                <xdr:row>11</xdr:row>
                <xdr:rowOff>57150</xdr:rowOff>
              </to>
            </anchor>
          </controlPr>
        </control>
      </mc:Choice>
      <mc:Fallback>
        <control shapeId="3608" r:id="rId7" name="BTN_Config_Repair"/>
      </mc:Fallback>
    </mc:AlternateContent>
    <mc:AlternateContent xmlns:mc="http://schemas.openxmlformats.org/markup-compatibility/2006">
      <mc:Choice Requires="x14">
        <control shapeId="3379" r:id="rId9" name="BTN_Config_BackPictGet">
          <controlPr defaultSize="0" autoLine="0" r:id="rId10">
            <anchor moveWithCells="1">
              <from>
                <xdr:col>26</xdr:col>
                <xdr:colOff>9525</xdr:colOff>
                <xdr:row>31</xdr:row>
                <xdr:rowOff>47625</xdr:rowOff>
              </from>
              <to>
                <xdr:col>27</xdr:col>
                <xdr:colOff>19050</xdr:colOff>
                <xdr:row>32</xdr:row>
                <xdr:rowOff>76200</xdr:rowOff>
              </to>
            </anchor>
          </controlPr>
        </control>
      </mc:Choice>
      <mc:Fallback>
        <control shapeId="3379" r:id="rId9" name="BTN_Config_BackPictGet"/>
      </mc:Fallback>
    </mc:AlternateContent>
    <mc:AlternateContent xmlns:mc="http://schemas.openxmlformats.org/markup-compatibility/2006">
      <mc:Choice Requires="x14">
        <control shapeId="3320" r:id="rId11" name="BTN_Config_Template2Get">
          <controlPr defaultSize="0" autoLine="0" r:id="rId12">
            <anchor moveWithCells="1">
              <from>
                <xdr:col>32</xdr:col>
                <xdr:colOff>0</xdr:colOff>
                <xdr:row>55</xdr:row>
                <xdr:rowOff>85725</xdr:rowOff>
              </from>
              <to>
                <xdr:col>33</xdr:col>
                <xdr:colOff>0</xdr:colOff>
                <xdr:row>56</xdr:row>
                <xdr:rowOff>190500</xdr:rowOff>
              </to>
            </anchor>
          </controlPr>
        </control>
      </mc:Choice>
      <mc:Fallback>
        <control shapeId="3320" r:id="rId11" name="BTN_Config_Template2Get"/>
      </mc:Fallback>
    </mc:AlternateContent>
    <mc:AlternateContent xmlns:mc="http://schemas.openxmlformats.org/markup-compatibility/2006">
      <mc:Choice Requires="x14">
        <control shapeId="3319" r:id="rId13" name="BTN_Config_Template1Get">
          <controlPr defaultSize="0" autoLine="0" r:id="rId14">
            <anchor moveWithCells="1">
              <from>
                <xdr:col>30</xdr:col>
                <xdr:colOff>0</xdr:colOff>
                <xdr:row>55</xdr:row>
                <xdr:rowOff>85725</xdr:rowOff>
              </from>
              <to>
                <xdr:col>31</xdr:col>
                <xdr:colOff>0</xdr:colOff>
                <xdr:row>56</xdr:row>
                <xdr:rowOff>190500</xdr:rowOff>
              </to>
            </anchor>
          </controlPr>
        </control>
      </mc:Choice>
      <mc:Fallback>
        <control shapeId="3319" r:id="rId13" name="BTN_Config_Template1Get"/>
      </mc:Fallback>
    </mc:AlternateContent>
    <mc:AlternateContent xmlns:mc="http://schemas.openxmlformats.org/markup-compatibility/2006">
      <mc:Choice Requires="x14">
        <control shapeId="3269" r:id="rId15" name="BTN_Config_Template2Set">
          <controlPr defaultSize="0" autoLine="0" r:id="rId16">
            <anchor moveWithCells="1">
              <from>
                <xdr:col>32</xdr:col>
                <xdr:colOff>0</xdr:colOff>
                <xdr:row>2</xdr:row>
                <xdr:rowOff>66675</xdr:rowOff>
              </from>
              <to>
                <xdr:col>33</xdr:col>
                <xdr:colOff>0</xdr:colOff>
                <xdr:row>3</xdr:row>
                <xdr:rowOff>200025</xdr:rowOff>
              </to>
            </anchor>
          </controlPr>
        </control>
      </mc:Choice>
      <mc:Fallback>
        <control shapeId="3269" r:id="rId15" name="BTN_Config_Template2Set"/>
      </mc:Fallback>
    </mc:AlternateContent>
    <mc:AlternateContent xmlns:mc="http://schemas.openxmlformats.org/markup-compatibility/2006">
      <mc:Choice Requires="x14">
        <control shapeId="3268" r:id="rId17" name="BTN_Config_Template1Set">
          <controlPr defaultSize="0" autoLine="0" r:id="rId18">
            <anchor moveWithCells="1">
              <from>
                <xdr:col>30</xdr:col>
                <xdr:colOff>0</xdr:colOff>
                <xdr:row>2</xdr:row>
                <xdr:rowOff>66675</xdr:rowOff>
              </from>
              <to>
                <xdr:col>31</xdr:col>
                <xdr:colOff>0</xdr:colOff>
                <xdr:row>3</xdr:row>
                <xdr:rowOff>200025</xdr:rowOff>
              </to>
            </anchor>
          </controlPr>
        </control>
      </mc:Choice>
      <mc:Fallback>
        <control shapeId="3268" r:id="rId17" name="BTN_Config_Template1Set"/>
      </mc:Fallback>
    </mc:AlternateContent>
    <mc:AlternateContent xmlns:mc="http://schemas.openxmlformats.org/markup-compatibility/2006">
      <mc:Choice Requires="x14">
        <control shapeId="3118" r:id="rId19" name="BTN_Config_DataShift">
          <controlPr defaultSize="0" autoLine="0" r:id="rId20">
            <anchor moveWithCells="1">
              <from>
                <xdr:col>2</xdr:col>
                <xdr:colOff>66675</xdr:colOff>
                <xdr:row>6</xdr:row>
                <xdr:rowOff>200025</xdr:rowOff>
              </from>
              <to>
                <xdr:col>2</xdr:col>
                <xdr:colOff>1362075</xdr:colOff>
                <xdr:row>8</xdr:row>
                <xdr:rowOff>38100</xdr:rowOff>
              </to>
            </anchor>
          </controlPr>
        </control>
      </mc:Choice>
      <mc:Fallback>
        <control shapeId="3118" r:id="rId19" name="BTN_Config_DataShift"/>
      </mc:Fallback>
    </mc:AlternateContent>
    <mc:AlternateContent xmlns:mc="http://schemas.openxmlformats.org/markup-compatibility/2006">
      <mc:Choice Requires="x14">
        <control shapeId="3080" r:id="rId21" name="BTN_Config_Rewrite">
          <controlPr defaultSize="0" autoLine="0" r:id="rId22">
            <anchor moveWithCells="1">
              <from>
                <xdr:col>2</xdr:col>
                <xdr:colOff>66675</xdr:colOff>
                <xdr:row>5</xdr:row>
                <xdr:rowOff>76200</xdr:rowOff>
              </from>
              <to>
                <xdr:col>2</xdr:col>
                <xdr:colOff>1362075</xdr:colOff>
                <xdr:row>6</xdr:row>
                <xdr:rowOff>161925</xdr:rowOff>
              </to>
            </anchor>
          </controlPr>
        </control>
      </mc:Choice>
      <mc:Fallback>
        <control shapeId="3080" r:id="rId21" name="BTN_Config_Rewrite"/>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G25"/>
  <sheetViews>
    <sheetView topLeftCell="A7" zoomScale="115" zoomScaleNormal="115" workbookViewId="0">
      <pane xSplit="2" topLeftCell="C1" activePane="topRight" state="frozenSplit"/>
      <selection pane="topRight" activeCell="E6" sqref="E6:E23"/>
    </sheetView>
  </sheetViews>
  <sheetFormatPr defaultRowHeight="13.5"/>
  <cols>
    <col min="1" max="1" width="4" style="446" customWidth="1"/>
    <col min="2" max="2" width="9.7109375" style="446" customWidth="1"/>
    <col min="3" max="3" width="17.85546875" style="446" customWidth="1"/>
    <col min="4" max="7" width="17.5703125" style="446" customWidth="1"/>
    <col min="8" max="16384" width="9.140625" style="446"/>
  </cols>
  <sheetData>
    <row r="1" spans="2:7" ht="14.25" thickBot="1"/>
    <row r="2" spans="2:7" ht="14.25" thickTop="1">
      <c r="B2" s="447"/>
      <c r="C2" s="448" t="s">
        <v>402</v>
      </c>
      <c r="D2" s="449" t="s">
        <v>403</v>
      </c>
      <c r="E2" s="448" t="s">
        <v>404</v>
      </c>
      <c r="F2" s="450" t="s">
        <v>425</v>
      </c>
      <c r="G2" s="451" t="s">
        <v>426</v>
      </c>
    </row>
    <row r="3" spans="2:7" ht="14.25" thickBot="1">
      <c r="B3" s="452"/>
      <c r="C3" s="453" t="s">
        <v>424</v>
      </c>
      <c r="D3" s="453" t="s">
        <v>423</v>
      </c>
      <c r="E3" s="453" t="s">
        <v>423</v>
      </c>
      <c r="F3" s="454" t="s">
        <v>423</v>
      </c>
      <c r="G3" s="455" t="s">
        <v>423</v>
      </c>
    </row>
    <row r="4" spans="2:7" ht="26.25" customHeight="1" thickTop="1">
      <c r="B4" s="456">
        <v>0</v>
      </c>
      <c r="C4" s="457" t="s">
        <v>405</v>
      </c>
      <c r="D4" s="457" t="s">
        <v>405</v>
      </c>
      <c r="E4" s="457" t="s">
        <v>405</v>
      </c>
      <c r="F4" s="457" t="s">
        <v>405</v>
      </c>
      <c r="G4" s="457" t="s">
        <v>405</v>
      </c>
    </row>
    <row r="5" spans="2:7" ht="26.25" customHeight="1">
      <c r="B5" s="458">
        <v>0.05</v>
      </c>
      <c r="C5" s="459" t="s">
        <v>406</v>
      </c>
      <c r="D5" s="459" t="s">
        <v>407</v>
      </c>
      <c r="E5" s="460" t="s">
        <v>408</v>
      </c>
      <c r="F5" s="460" t="s">
        <v>408</v>
      </c>
      <c r="G5" s="460" t="s">
        <v>408</v>
      </c>
    </row>
    <row r="6" spans="2:7" ht="26.25" customHeight="1">
      <c r="B6" s="458">
        <v>0.1</v>
      </c>
      <c r="C6" s="461"/>
      <c r="D6" s="461"/>
      <c r="E6" s="567" t="s">
        <v>409</v>
      </c>
      <c r="F6" s="568" t="s">
        <v>410</v>
      </c>
      <c r="G6" s="568" t="s">
        <v>411</v>
      </c>
    </row>
    <row r="7" spans="2:7" ht="26.25" customHeight="1">
      <c r="B7" s="458">
        <v>0.15</v>
      </c>
      <c r="C7" s="462"/>
      <c r="D7" s="462"/>
      <c r="E7" s="567"/>
      <c r="F7" s="568"/>
      <c r="G7" s="568"/>
    </row>
    <row r="8" spans="2:7" ht="26.25" customHeight="1">
      <c r="B8" s="458">
        <v>0.2</v>
      </c>
      <c r="C8" s="462"/>
      <c r="D8" s="462"/>
      <c r="E8" s="567"/>
      <c r="F8" s="568"/>
      <c r="G8" s="568"/>
    </row>
    <row r="9" spans="2:7" ht="26.25" customHeight="1">
      <c r="B9" s="458">
        <v>0.25</v>
      </c>
      <c r="C9" s="462"/>
      <c r="D9" s="462"/>
      <c r="E9" s="567"/>
      <c r="F9" s="568"/>
      <c r="G9" s="568"/>
    </row>
    <row r="10" spans="2:7" ht="26.25" customHeight="1">
      <c r="B10" s="458">
        <v>0.3</v>
      </c>
      <c r="C10" s="462"/>
      <c r="D10" s="462"/>
      <c r="E10" s="567"/>
      <c r="F10" s="568"/>
      <c r="G10" s="568"/>
    </row>
    <row r="11" spans="2:7" ht="26.25" customHeight="1">
      <c r="B11" s="458">
        <v>0.35</v>
      </c>
      <c r="C11" s="462"/>
      <c r="D11" s="462"/>
      <c r="E11" s="567"/>
      <c r="F11" s="568"/>
      <c r="G11" s="568"/>
    </row>
    <row r="12" spans="2:7" ht="26.25" customHeight="1">
      <c r="B12" s="458">
        <v>0.4</v>
      </c>
      <c r="C12" s="462"/>
      <c r="D12" s="463" t="s">
        <v>412</v>
      </c>
      <c r="E12" s="567"/>
      <c r="F12" s="568"/>
      <c r="G12" s="568"/>
    </row>
    <row r="13" spans="2:7" ht="26.25" customHeight="1">
      <c r="B13" s="458">
        <v>0.45</v>
      </c>
      <c r="C13" s="462"/>
      <c r="D13" s="462"/>
      <c r="E13" s="567"/>
      <c r="F13" s="568"/>
      <c r="G13" s="568"/>
    </row>
    <row r="14" spans="2:7" ht="26.25" customHeight="1">
      <c r="B14" s="458">
        <v>0.5</v>
      </c>
      <c r="C14" s="463" t="s">
        <v>412</v>
      </c>
      <c r="D14" s="462"/>
      <c r="E14" s="567"/>
      <c r="F14" s="568"/>
      <c r="G14" s="568"/>
    </row>
    <row r="15" spans="2:7" ht="26.25" customHeight="1">
      <c r="B15" s="458">
        <v>0.55000000000000004</v>
      </c>
      <c r="C15" s="462"/>
      <c r="D15" s="462"/>
      <c r="E15" s="567"/>
      <c r="F15" s="568"/>
      <c r="G15" s="568"/>
    </row>
    <row r="16" spans="2:7" ht="26.25" customHeight="1">
      <c r="B16" s="458">
        <v>0.6</v>
      </c>
      <c r="C16" s="462"/>
      <c r="D16" s="462"/>
      <c r="E16" s="567"/>
      <c r="F16" s="460" t="s">
        <v>413</v>
      </c>
      <c r="G16" s="568"/>
    </row>
    <row r="17" spans="2:7" ht="26.25" customHeight="1">
      <c r="B17" s="458">
        <v>0.65</v>
      </c>
      <c r="C17" s="462"/>
      <c r="D17" s="462"/>
      <c r="E17" s="567"/>
      <c r="F17" s="569" t="s">
        <v>414</v>
      </c>
      <c r="G17" s="568"/>
    </row>
    <row r="18" spans="2:7" ht="26.25" customHeight="1">
      <c r="B18" s="458">
        <v>0.7</v>
      </c>
      <c r="C18" s="462"/>
      <c r="D18" s="462"/>
      <c r="E18" s="567"/>
      <c r="F18" s="569"/>
      <c r="G18" s="568"/>
    </row>
    <row r="19" spans="2:7" ht="26.25" customHeight="1">
      <c r="B19" s="458">
        <v>0.75</v>
      </c>
      <c r="C19" s="462"/>
      <c r="D19" s="462"/>
      <c r="E19" s="567"/>
      <c r="F19" s="569"/>
      <c r="G19" s="568"/>
    </row>
    <row r="20" spans="2:7" ht="26.25" customHeight="1">
      <c r="B20" s="458">
        <v>0.8</v>
      </c>
      <c r="C20" s="462"/>
      <c r="D20" s="464" t="s">
        <v>415</v>
      </c>
      <c r="E20" s="567"/>
      <c r="F20" s="569"/>
      <c r="G20" s="568" t="s">
        <v>416</v>
      </c>
    </row>
    <row r="21" spans="2:7" ht="26.25" customHeight="1">
      <c r="B21" s="458">
        <v>0.85</v>
      </c>
      <c r="C21" s="462"/>
      <c r="D21" s="462"/>
      <c r="E21" s="567"/>
      <c r="F21" s="569"/>
      <c r="G21" s="568"/>
    </row>
    <row r="22" spans="2:7" ht="26.25" customHeight="1">
      <c r="B22" s="458">
        <v>0.9</v>
      </c>
      <c r="C22" s="462"/>
      <c r="D22" s="465" t="s">
        <v>417</v>
      </c>
      <c r="E22" s="567"/>
      <c r="F22" s="569"/>
      <c r="G22" s="568"/>
    </row>
    <row r="23" spans="2:7" ht="26.25" customHeight="1">
      <c r="B23" s="458">
        <v>0.95</v>
      </c>
      <c r="C23" s="462"/>
      <c r="D23" s="466" t="s">
        <v>418</v>
      </c>
      <c r="E23" s="567"/>
      <c r="F23" s="569"/>
      <c r="G23" s="568"/>
    </row>
    <row r="24" spans="2:7" ht="26.25" customHeight="1" thickBot="1">
      <c r="B24" s="467">
        <v>1</v>
      </c>
      <c r="C24" s="468" t="s">
        <v>415</v>
      </c>
      <c r="D24" s="468" t="s">
        <v>419</v>
      </c>
      <c r="E24" s="469" t="s">
        <v>420</v>
      </c>
      <c r="F24" s="469" t="s">
        <v>421</v>
      </c>
      <c r="G24" s="469" t="s">
        <v>422</v>
      </c>
    </row>
    <row r="25" spans="2:7" ht="14.25" thickTop="1"/>
  </sheetData>
  <mergeCells count="5">
    <mergeCell ref="E6:E23"/>
    <mergeCell ref="F6:F15"/>
    <mergeCell ref="G6:G19"/>
    <mergeCell ref="F17:F23"/>
    <mergeCell ref="G20:G23"/>
  </mergeCells>
  <phoneticPr fontId="4"/>
  <pageMargins left="0.3" right="0.3" top="1" bottom="1" header="0.51200000000000001" footer="0.51200000000000001"/>
  <pageSetup paperSize="9" scale="65" orientation="landscape"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192</vt:i4>
      </vt:variant>
    </vt:vector>
  </HeadingPairs>
  <TitlesOfParts>
    <vt:vector size="197" baseType="lpstr">
      <vt:lpstr>スケジュール</vt:lpstr>
      <vt:lpstr>担当者一覧</vt:lpstr>
      <vt:lpstr>標準工程</vt:lpstr>
      <vt:lpstr>設定</vt:lpstr>
      <vt:lpstr>進捗率</vt:lpstr>
      <vt:lpstr>DEFC</vt:lpstr>
      <vt:lpstr>DEFC_BtnDsp_EXT</vt:lpstr>
      <vt:lpstr>DEFC_BtnDsp_Menu</vt:lpstr>
      <vt:lpstr>DEFC_BtnDsp_Task</vt:lpstr>
      <vt:lpstr>DEFC_BtnDsp_TODO</vt:lpstr>
      <vt:lpstr>DEFC_Cal_DspEndTime</vt:lpstr>
      <vt:lpstr>DEFC_Cal_DspStaTime</vt:lpstr>
      <vt:lpstr>DEFC_Cal_EndTime</vt:lpstr>
      <vt:lpstr>DEFC_Cal_OffTime1</vt:lpstr>
      <vt:lpstr>DEFC_Cal_OffTime2</vt:lpstr>
      <vt:lpstr>DEFC_Cal_OffTime3</vt:lpstr>
      <vt:lpstr>DEFC_Cal_StaTime</vt:lpstr>
      <vt:lpstr>DEFC_Calender_Fry</vt:lpstr>
      <vt:lpstr>DEFC_Calender_Hol</vt:lpstr>
      <vt:lpstr>DEFC_Calender_Mon</vt:lpstr>
      <vt:lpstr>DEFC_Calender_Off</vt:lpstr>
      <vt:lpstr>DEFC_Calender_Off2</vt:lpstr>
      <vt:lpstr>DEFC_Calender_OffE</vt:lpstr>
      <vt:lpstr>DEFC_Calender_OffE2</vt:lpstr>
      <vt:lpstr>DEFC_Calender_On</vt:lpstr>
      <vt:lpstr>DEFC_Calender_On2</vt:lpstr>
      <vt:lpstr>DEFC_Calender_OnE</vt:lpstr>
      <vt:lpstr>DEFC_Calender_OnE2</vt:lpstr>
      <vt:lpstr>DEFC_Calender_Sat</vt:lpstr>
      <vt:lpstr>DEFC_Calender_Sun</vt:lpstr>
      <vt:lpstr>DEFC_Calender_Thu</vt:lpstr>
      <vt:lpstr>DEFC_Calender_Tue</vt:lpstr>
      <vt:lpstr>DEFC_Calender_Wed</vt:lpstr>
      <vt:lpstr>DEFC_CellForm_EXT10</vt:lpstr>
      <vt:lpstr>DEFC_CellForm_EXT11</vt:lpstr>
      <vt:lpstr>DEFC_CellForm_EXT12</vt:lpstr>
      <vt:lpstr>DEFC_CellForm_EXT20</vt:lpstr>
      <vt:lpstr>DEFC_CellForm_EXT21</vt:lpstr>
      <vt:lpstr>DEFC_CellForm_EXT22</vt:lpstr>
      <vt:lpstr>DEFC_CForm_BackPict</vt:lpstr>
      <vt:lpstr>DEFC_CForm_Comment</vt:lpstr>
      <vt:lpstr>DEFC_CForm_Conect</vt:lpstr>
      <vt:lpstr>DEFC_CForm_D_Day</vt:lpstr>
      <vt:lpstr>DEFC_CForm_D_Frame</vt:lpstr>
      <vt:lpstr>DEFC_CForm_D_WHol2</vt:lpstr>
      <vt:lpstr>DEFC_CForm_D_Width</vt:lpstr>
      <vt:lpstr>DEFC_CForm_D_WSat</vt:lpstr>
      <vt:lpstr>DEFC_CForm_D_WSun</vt:lpstr>
      <vt:lpstr>DEFC_CForm_D_WWork</vt:lpstr>
      <vt:lpstr>DEFC_CForm_Defalt</vt:lpstr>
      <vt:lpstr>DEFC_CForm_DiffDay</vt:lpstr>
      <vt:lpstr>DEFC_CForm_DiffTime</vt:lpstr>
      <vt:lpstr>DEFC_CForm_H_Day</vt:lpstr>
      <vt:lpstr>DEFC_CForm_H_Frame</vt:lpstr>
      <vt:lpstr>DEFC_CForm_H_Sun</vt:lpstr>
      <vt:lpstr>DEFC_CForm_H_Width</vt:lpstr>
      <vt:lpstr>DEFC_CForm_H_Work</vt:lpstr>
      <vt:lpstr>DEFC_CForm_Item_No</vt:lpstr>
      <vt:lpstr>DEFC_CForm_ItemName</vt:lpstr>
      <vt:lpstr>DEFC_CForm_JituDay</vt:lpstr>
      <vt:lpstr>DEFC_CForm_JituTime</vt:lpstr>
      <vt:lpstr>DEFC_CForm_Kousuu</vt:lpstr>
      <vt:lpstr>DEFC_CForm_LastTForm</vt:lpstr>
      <vt:lpstr>DEFC_CForm_LastTPos</vt:lpstr>
      <vt:lpstr>DEFC_CForm_Line</vt:lpstr>
      <vt:lpstr>DEFC_CForm_M_Frame</vt:lpstr>
      <vt:lpstr>DEFC_CForm_M_Month</vt:lpstr>
      <vt:lpstr>DEFC_CForm_M_Width</vt:lpstr>
      <vt:lpstr>DEFC_CForm_M_Year</vt:lpstr>
      <vt:lpstr>DEFC_CForm_Member</vt:lpstr>
      <vt:lpstr>DEFC_CForm_Ningetu</vt:lpstr>
      <vt:lpstr>DEFC_CForm_OkureDay</vt:lpstr>
      <vt:lpstr>DEFC_CForm_OkureTim</vt:lpstr>
      <vt:lpstr>DEFC_CForm_ProgDay</vt:lpstr>
      <vt:lpstr>DEFC_CForm_ProgTime</vt:lpstr>
      <vt:lpstr>DEFC_CForm_SecItem</vt:lpstr>
      <vt:lpstr>DEFC_CForm_Title</vt:lpstr>
      <vt:lpstr>DEFC_CForm_TopItem</vt:lpstr>
      <vt:lpstr>DEFC_CForm_W_Day</vt:lpstr>
      <vt:lpstr>DEFC_CForm_W_Frame</vt:lpstr>
      <vt:lpstr>DEFC_CForm_W_Month</vt:lpstr>
      <vt:lpstr>DEFC_CForm_W_Width</vt:lpstr>
      <vt:lpstr>DEFC_CForm_Width</vt:lpstr>
      <vt:lpstr>DEFC_CForm_YoteDay</vt:lpstr>
      <vt:lpstr>DEFC_CForm_YoteTime</vt:lpstr>
      <vt:lpstr>DEFC_Chart_FrameFix</vt:lpstr>
      <vt:lpstr>DEFC_Chart_JituPos</vt:lpstr>
      <vt:lpstr>DEFC_Chart_LineWidth</vt:lpstr>
      <vt:lpstr>DEFC_Chart_MilestoneDate1</vt:lpstr>
      <vt:lpstr>DEFC_Chart_NowDate</vt:lpstr>
      <vt:lpstr>DEFC_Chart_Span</vt:lpstr>
      <vt:lpstr>DEFC_Chart_StartDay</vt:lpstr>
      <vt:lpstr>DEFC_Chart_Term</vt:lpstr>
      <vt:lpstr>DEFC_ChartKind_Gp</vt:lpstr>
      <vt:lpstr>DEFC_ChartKind_Plan</vt:lpstr>
      <vt:lpstr>DEFC_ChartKind_Proc</vt:lpstr>
      <vt:lpstr>DEFC_ChartKind_ProcN</vt:lpstr>
      <vt:lpstr>DEFC_ChartKind_Stone</vt:lpstr>
      <vt:lpstr>DEFC_DebugLog</vt:lpstr>
      <vt:lpstr>DEFC_DspFlg_All</vt:lpstr>
      <vt:lpstr>DEFC_DspFlg_Coment</vt:lpstr>
      <vt:lpstr>DEFC_DspFlg_Conect</vt:lpstr>
      <vt:lpstr>DEFC_DspFlg_Config</vt:lpstr>
      <vt:lpstr>DEFC_DspFlg_ConLine</vt:lpstr>
      <vt:lpstr>DEFC_DspFlg_DateDiff</vt:lpstr>
      <vt:lpstr>DEFC_DspFlg_DiffJitu</vt:lpstr>
      <vt:lpstr>DEFC_DspFlg_End__Day</vt:lpstr>
      <vt:lpstr>DEFC_DspFlg_End_Jitu</vt:lpstr>
      <vt:lpstr>DEFC_DspFlg_EndBox</vt:lpstr>
      <vt:lpstr>DEFC_DspFlg_Group</vt:lpstr>
      <vt:lpstr>DEFC_DspFlg_Inazuma</vt:lpstr>
      <vt:lpstr>DEFC_DspFlg_Item_No</vt:lpstr>
      <vt:lpstr>DEFC_DspFlg_ItemName</vt:lpstr>
      <vt:lpstr>DEFC_DspFlg_Jitu</vt:lpstr>
      <vt:lpstr>DEFC_DspFlg_Kous</vt:lpstr>
      <vt:lpstr>DEFC_DspFlg_Kousuu</vt:lpstr>
      <vt:lpstr>DEFC_DspFlg_Lang</vt:lpstr>
      <vt:lpstr>DEFC_DspFlg_Member</vt:lpstr>
      <vt:lpstr>DEFC_DspFlg_Milestone1</vt:lpstr>
      <vt:lpstr>DEFC_DspFlg_Ningetu</vt:lpstr>
      <vt:lpstr>DEFC_DspFlg_NowLine</vt:lpstr>
      <vt:lpstr>DEFC_DspFlg_OkureDay</vt:lpstr>
      <vt:lpstr>DEFC_DspFlg_Prog</vt:lpstr>
      <vt:lpstr>DEFC_DspFlg_Progress</vt:lpstr>
      <vt:lpstr>DEFC_DspFlg_SecItem</vt:lpstr>
      <vt:lpstr>DEFC_DspFlg_StartBox</vt:lpstr>
      <vt:lpstr>DEFC_DspFlg_StartDay</vt:lpstr>
      <vt:lpstr>DEFC_DspFlg_Stat</vt:lpstr>
      <vt:lpstr>DEFC_DspFlg_Status</vt:lpstr>
      <vt:lpstr>DEFC_DspFlg_StrtJitu</vt:lpstr>
      <vt:lpstr>DEFC_DspFlg_Support</vt:lpstr>
      <vt:lpstr>DEFC_DspFlg_TopItem</vt:lpstr>
      <vt:lpstr>DEFC_DspGp_Cmd</vt:lpstr>
      <vt:lpstr>DEFC_DspGp_Dsp</vt:lpstr>
      <vt:lpstr>DEFC_DspGp_Form</vt:lpstr>
      <vt:lpstr>DEFC_DspGp_Temp</vt:lpstr>
      <vt:lpstr>DEFC_DspGp_Work1</vt:lpstr>
      <vt:lpstr>DEFC_DspGp_Work2</vt:lpstr>
      <vt:lpstr>DEFC_DspLang</vt:lpstr>
      <vt:lpstr>DEFC_File_BaseForm</vt:lpstr>
      <vt:lpstr>DEFC_File_MemForm</vt:lpstr>
      <vt:lpstr>DEFC_Stat_Default</vt:lpstr>
      <vt:lpstr>DEFC_Stat_End</vt:lpstr>
      <vt:lpstr>DEFC_Stat_EndDelay</vt:lpstr>
      <vt:lpstr>DEFC_Stat_Exec</vt:lpstr>
      <vt:lpstr>DEFC_Stat_ExecRem</vt:lpstr>
      <vt:lpstr>DEFC_Stat_ExecRemDay</vt:lpstr>
      <vt:lpstr>DEFC_Stat_StartDelay</vt:lpstr>
      <vt:lpstr>DEFC_Stat_YoteNeaDay</vt:lpstr>
      <vt:lpstr>DEFC_Stat_YoteNear</vt:lpstr>
      <vt:lpstr>DEFC_Tmp1_BackPict</vt:lpstr>
      <vt:lpstr>DEFC_Tmp1_CForm_D</vt:lpstr>
      <vt:lpstr>DEFC_Tmp1_CForm_Date</vt:lpstr>
      <vt:lpstr>DEFC_Tmp1_CForm_H</vt:lpstr>
      <vt:lpstr>DEFC_Tmp1_CForm_Item</vt:lpstr>
      <vt:lpstr>DEFC_Tmp1_CForm_M</vt:lpstr>
      <vt:lpstr>DEFC_Tmp1_CForm_W</vt:lpstr>
      <vt:lpstr>DEFC_Tmp1_Stat</vt:lpstr>
      <vt:lpstr>DEFC_Tmp2_BackPict</vt:lpstr>
      <vt:lpstr>DEFC_Tmp2_CForm_D</vt:lpstr>
      <vt:lpstr>DEFC_Tmp2_CForm_Date</vt:lpstr>
      <vt:lpstr>DEFC_Tmp2_CForm_H</vt:lpstr>
      <vt:lpstr>DEFC_Tmp2_CForm_Item</vt:lpstr>
      <vt:lpstr>DEFC_Tmp2_CForm_M</vt:lpstr>
      <vt:lpstr>DEFC_Tmp2_CForm_W</vt:lpstr>
      <vt:lpstr>DEFC_Tmp2_Stat</vt:lpstr>
      <vt:lpstr>DEFM</vt:lpstr>
      <vt:lpstr>DEFM_DspGp_Title</vt:lpstr>
      <vt:lpstr>DEFM_Member_Config</vt:lpstr>
      <vt:lpstr>DEFM_Member_Enable</vt:lpstr>
      <vt:lpstr>DEFM_Member_End</vt:lpstr>
      <vt:lpstr>DEFM_Member_Member</vt:lpstr>
      <vt:lpstr>DEFM_Member_OffGP</vt:lpstr>
      <vt:lpstr>DEFM_Member_Sample</vt:lpstr>
      <vt:lpstr>DEFM_Member_Start</vt:lpstr>
      <vt:lpstr>DEFS</vt:lpstr>
      <vt:lpstr>DEFS_DspGp_Title</vt:lpstr>
      <vt:lpstr>DEFW</vt:lpstr>
      <vt:lpstr>DEFW_Chart_StartPos</vt:lpstr>
      <vt:lpstr>DEFW_DspGp_Title</vt:lpstr>
      <vt:lpstr>DEFW_Title_Conect</vt:lpstr>
      <vt:lpstr>DEFW_Title_Config</vt:lpstr>
      <vt:lpstr>DEFW_Title_DateDiff</vt:lpstr>
      <vt:lpstr>DEFW_Title_DiffJitu</vt:lpstr>
      <vt:lpstr>DEFW_Title_End__Day</vt:lpstr>
      <vt:lpstr>DEFW_Title_End_Jitu</vt:lpstr>
      <vt:lpstr>DEFW_Title_Item_No</vt:lpstr>
      <vt:lpstr>DEFW_Title_ItemName</vt:lpstr>
      <vt:lpstr>DEFW_Title_Kousuu</vt:lpstr>
      <vt:lpstr>DEFW_Title_Member</vt:lpstr>
      <vt:lpstr>DEFW_Title_OkureDay</vt:lpstr>
      <vt:lpstr>DEFW_Title_Progress</vt:lpstr>
      <vt:lpstr>DEFW_Title_SecItem</vt:lpstr>
      <vt:lpstr>DEFW_Title_StartDay</vt:lpstr>
      <vt:lpstr>DEFW_Title_Status</vt:lpstr>
      <vt:lpstr>DEFW_Title_StrtJitu</vt:lpstr>
      <vt:lpstr>DEFW_Title_TopItem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開発マイルストーン</dc:title>
  <dc:subject>プロジェクト開発などのスケジュール管理をExcelで簡単かつグラフィカルに作成する</dc:subject>
  <dc:creator>zudajijp</dc:creator>
  <cp:lastModifiedBy>ismail - [2010]</cp:lastModifiedBy>
  <cp:revision>1</cp:revision>
  <cp:lastPrinted>2007-11-26T17:08:24Z</cp:lastPrinted>
  <dcterms:created xsi:type="dcterms:W3CDTF">2007-06-17T13:05:55Z</dcterms:created>
  <dcterms:modified xsi:type="dcterms:W3CDTF">2020-03-11T16:56:37Z</dcterms:modified>
  <cp:category>プロジェクト管理</cp:category>
</cp:coreProperties>
</file>